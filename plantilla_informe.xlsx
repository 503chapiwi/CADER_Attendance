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365" tabRatio="600" firstSheet="0" activeTab="0" autoFilterDateGrouping="1"/>
  </bookViews>
  <sheets>
    <sheet name="FORMATO DE CAPACITACIONES 2026" sheetId="1" state="visible" r:id="rId1"/>
    <sheet name="RESUMEN" sheetId="2" state="visible" r:id="rId2"/>
    <sheet name="INDICACIONES DE LLENADO" sheetId="3" state="visible" r:id="rId3"/>
  </sheets>
  <definedNames/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&quot;Q&quot;#,##0.00"/>
    <numFmt numFmtId="165" formatCode="_(&quot;Q&quot;* #,##0.00_);_(&quot;Q&quot;* \(#,##0.00\);_(&quot;Q&quot;* &quot;-&quot;??_);_(@_)"/>
  </numFmts>
  <fonts count="27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indexed="8"/>
      <sz val="11"/>
    </font>
    <font>
      <name val="Calibri"/>
      <family val="2"/>
      <sz val="8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rgb="FFFF0000"/>
      <sz val="12"/>
    </font>
    <font>
      <name val="Calibri"/>
      <family val="2"/>
      <b val="1"/>
      <color rgb="FFFF0000"/>
      <sz val="16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25" fillId="0" borderId="0"/>
    <xf numFmtId="0" fontId="2" fillId="0" borderId="0"/>
    <xf numFmtId="0" fontId="2" fillId="0" borderId="0"/>
    <xf numFmtId="9" fontId="25" fillId="0" borderId="0"/>
    <xf numFmtId="0" fontId="26" fillId="0" borderId="0"/>
  </cellStyleXfs>
  <cellXfs count="15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165" fontId="12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14" fontId="1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14" fontId="13" fillId="0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165" fontId="13" fillId="0" borderId="15" applyAlignment="1" pivotButton="0" quotePrefix="0" xfId="0">
      <alignment horizontal="center" vertical="center" wrapText="1"/>
    </xf>
    <xf numFmtId="165" fontId="13" fillId="0" borderId="15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4" fontId="0" fillId="2" borderId="1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12" fontId="12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13" fillId="2" borderId="15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5" fillId="0" borderId="8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9" fontId="9" fillId="7" borderId="1" applyAlignment="1" pivotButton="0" quotePrefix="0" xfId="3">
      <alignment horizontal="center" vertical="center"/>
    </xf>
    <xf numFmtId="9" fontId="9" fillId="10" borderId="1" applyAlignment="1" pivotButton="0" quotePrefix="0" xfId="3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26" fillId="0" borderId="0" pivotButton="0" quotePrefix="0" xfId="4"/>
    <xf numFmtId="14" fontId="0" fillId="0" borderId="1" applyAlignment="1" pivotButton="0" quotePrefix="0" xfId="0">
      <alignment horizontal="left" vertical="center" wrapText="1"/>
    </xf>
    <xf numFmtId="0" fontId="9" fillId="8" borderId="5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9" fillId="8" borderId="4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 vertical="center" wrapText="1"/>
    </xf>
    <xf numFmtId="0" fontId="9" fillId="8" borderId="9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/>
    </xf>
    <xf numFmtId="0" fontId="9" fillId="8" borderId="1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3" applyAlignment="1" pivotButton="0" quotePrefix="0" xfId="0">
      <alignment horizontal="center" vertical="center" wrapText="1"/>
    </xf>
    <xf numFmtId="0" fontId="9" fillId="8" borderId="12" applyAlignment="1" pivotButton="0" quotePrefix="0" xfId="0">
      <alignment horizontal="center" vertical="center" wrapText="1"/>
    </xf>
    <xf numFmtId="0" fontId="20" fillId="8" borderId="3" applyAlignment="1" pivotButton="0" quotePrefix="0" xfId="0">
      <alignment horizontal="center" vertical="center" wrapText="1"/>
    </xf>
    <xf numFmtId="0" fontId="20" fillId="8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17" fontId="9" fillId="7" borderId="1" applyAlignment="1" pivotButton="0" quotePrefix="0" xfId="0">
      <alignment horizontal="center" vertical="center"/>
    </xf>
    <xf numFmtId="0" fontId="9" fillId="7" borderId="11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/>
    </xf>
    <xf numFmtId="0" fontId="9" fillId="6" borderId="3" applyAlignment="1" pivotButton="0" quotePrefix="0" xfId="0">
      <alignment horizontal="center"/>
    </xf>
    <xf numFmtId="0" fontId="9" fillId="6" borderId="12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8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2" pivotButton="0" quotePrefix="0" xfId="0"/>
    <xf numFmtId="165" fontId="0" fillId="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165" fontId="13" fillId="0" borderId="15" applyAlignment="1" pivotButton="0" quotePrefix="0" xfId="0">
      <alignment horizontal="center" vertical="center" wrapText="1"/>
    </xf>
    <xf numFmtId="165" fontId="13" fillId="0" borderId="15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Porcentaje" xfId="3" builtinId="5"/>
    <cellStyle name="Hipervínculo" xfId="4" builtinId="8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TOTAL DE EVENTOS</a:t>
            </a:r>
            <a:r>
              <a:rPr lang="en-US" baseline="0">
                <a:solidFill>
                  <a:schemeClr val="tx2"/>
                </a:solidFill>
              </a:rPr>
              <a:t xml:space="preserve"> POR MUNICIPIO</a:t>
            </a:r>
            <a:endParaRPr lang="en-US">
              <a:solidFill>
                <a:schemeClr val="tx2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2907638142148531"/>
          <y val="0.0232559566417834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GT"/>
        </a:p>
      </txPr>
    </title>
    <plotArea>
      <layout/>
      <barChart>
        <barDir val="col"/>
        <grouping val="clustered"/>
        <varyColors val="1"/>
        <ser>
          <idx val="0"/>
          <order val="0"/>
          <tx>
            <strRef>
              <f>RESUMEN!$D$6</f>
              <strCache>
                <ptCount val="1"/>
                <pt idx="0">
                  <v>EVENTOS</v>
                </pt>
              </strCache>
            </strRef>
          </tx>
          <spPr>
            <a:ln>
              <a:prstDash val="solid"/>
            </a:ln>
          </spPr>
          <invertIfNegative val="0"/>
          <dPt>
            <idx val="0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7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8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9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0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1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2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3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4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5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6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7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8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9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0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1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2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3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4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5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6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7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8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9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GT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RESUMEN!$C$7:$C$15</f>
              <strCache>
                <ptCount val="9"/>
                <pt idx="0">
                  <v xml:space="preserve">MOMOSTENANGO </v>
                </pt>
                <pt idx="1">
                  <v xml:space="preserve">SAN ANDRÉS XECUL </v>
                </pt>
                <pt idx="2">
                  <v>SAN BARTOLO</v>
                </pt>
                <pt idx="3">
                  <v>SAN CRISTÓBAL TOTONICAPÁN</v>
                </pt>
                <pt idx="4">
                  <v xml:space="preserve">SAN FRANCISCO EL ALTO </v>
                </pt>
                <pt idx="5">
                  <v xml:space="preserve">SANTA LUCÍA LA REFORMA </v>
                </pt>
                <pt idx="6">
                  <v xml:space="preserve">SANTA MARÍA CHIQUIMULA </v>
                </pt>
                <pt idx="7">
                  <v xml:space="preserve">TOTONICAPÁN </v>
                </pt>
                <pt idx="8">
                  <v xml:space="preserve">FORMACIÓN Y CAPACITACIÓN SEDE DEPARTAMENTAL </v>
                </pt>
              </strCache>
            </strRef>
          </cat>
          <val>
            <numRef>
              <f>RESUMEN!$D$7:$D$15</f>
              <numCache>
                <formatCode>General</formatCode>
                <ptCount val="9"/>
                <pt idx="0">
                  <v>10</v>
                </pt>
                <pt idx="1">
                  <v>10</v>
                </pt>
                <pt idx="2">
                  <v>10</v>
                </pt>
                <pt idx="3">
                  <v>10</v>
                </pt>
                <pt idx="4">
                  <v>10</v>
                </pt>
                <pt idx="5">
                  <v>10</v>
                </pt>
                <pt idx="6">
                  <v>10</v>
                </pt>
                <pt idx="7">
                  <v>10</v>
                </pt>
                <pt idx="8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592383440"/>
        <axId val="592380112"/>
      </barChart>
      <catAx>
        <axId val="592383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GT"/>
          </a:p>
        </txPr>
        <crossAx val="592380112"/>
        <crosses val="autoZero"/>
        <auto val="1"/>
        <lblAlgn val="ctr"/>
        <lblOffset val="100"/>
        <noMultiLvlLbl val="0"/>
      </catAx>
      <valAx>
        <axId val="592380112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59238344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GT" sz="1400">
                <a:solidFill>
                  <a:schemeClr val="tx2"/>
                </a:solidFill>
              </a:rPr>
              <a:t>TOTAL DE HOMBRES</a:t>
            </a:r>
            <a:r>
              <a:rPr lang="es-GT" sz="1400" baseline="0">
                <a:solidFill>
                  <a:schemeClr val="tx2"/>
                </a:solidFill>
              </a:rPr>
              <a:t xml:space="preserve"> Y MUJERES POR MUNICIPIO</a:t>
            </a:r>
            <a:endParaRPr lang="es-GT" sz="1400">
              <a:solidFill>
                <a:schemeClr val="tx2"/>
              </a:solidFill>
            </a:endParaRP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GT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849603414957745"/>
          <y val="0.1128654570352619"/>
          <w val="0.9210158370843555"/>
          <h val="0.6140613845953548"/>
        </manualLayout>
      </layout>
      <barChart>
        <barDir val="col"/>
        <grouping val="clustered"/>
        <varyColors val="0"/>
        <ser>
          <idx val="0"/>
          <order val="0"/>
          <tx>
            <strRef>
              <f>RESUMEN!$F$6</f>
              <strCache>
                <ptCount val="1"/>
                <pt idx="0">
                  <v>HOMBRES</v>
                </pt>
              </strCache>
            </strRef>
          </tx>
          <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>
              <bevelT w="63500" h="25400"/>
            </a:sp3d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GT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RESUMEN!$C$7:$C$15</f>
              <strCache>
                <ptCount val="9"/>
                <pt idx="0">
                  <v xml:space="preserve">MOMOSTENANGO </v>
                </pt>
                <pt idx="1">
                  <v xml:space="preserve">SAN ANDRÉS XECUL </v>
                </pt>
                <pt idx="2">
                  <v>SAN BARTOLO</v>
                </pt>
                <pt idx="3">
                  <v>SAN CRISTÓBAL TOTONICAPÁN</v>
                </pt>
                <pt idx="4">
                  <v xml:space="preserve">SAN FRANCISCO EL ALTO </v>
                </pt>
                <pt idx="5">
                  <v xml:space="preserve">SANTA LUCÍA LA REFORMA </v>
                </pt>
                <pt idx="6">
                  <v xml:space="preserve">SANTA MARÍA CHIQUIMULA </v>
                </pt>
                <pt idx="7">
                  <v xml:space="preserve">TOTONICAPÁN </v>
                </pt>
                <pt idx="8">
                  <v xml:space="preserve">FORMACIÓN Y CAPACITACIÓN SEDE DEPARTAMENTAL </v>
                </pt>
              </strCache>
            </strRef>
          </cat>
          <val>
            <numRef>
              <f>RESUMEN!$F$7:$F$15</f>
              <numCache>
                <formatCode>General</formatCode>
                <ptCount val="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ser>
          <idx val="1"/>
          <order val="1"/>
          <tx>
            <strRef>
              <f>RESUMEN!$G$6</f>
              <strCache>
                <ptCount val="1"/>
                <pt idx="0">
                  <v>MUJERES</v>
                </pt>
              </strCache>
            </strRef>
          </tx>
          <spPr>
            <a:solidFill>
              <a:srgbClr val="FF66CC"/>
            </a:solidFill>
            <a:ln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>
              <bevelT w="63500" h="25400"/>
            </a:sp3d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GT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RESUMEN!$C$7:$C$15</f>
              <strCache>
                <ptCount val="9"/>
                <pt idx="0">
                  <v xml:space="preserve">MOMOSTENANGO </v>
                </pt>
                <pt idx="1">
                  <v xml:space="preserve">SAN ANDRÉS XECUL </v>
                </pt>
                <pt idx="2">
                  <v>SAN BARTOLO</v>
                </pt>
                <pt idx="3">
                  <v>SAN CRISTÓBAL TOTONICAPÁN</v>
                </pt>
                <pt idx="4">
                  <v xml:space="preserve">SAN FRANCISCO EL ALTO </v>
                </pt>
                <pt idx="5">
                  <v xml:space="preserve">SANTA LUCÍA LA REFORMA </v>
                </pt>
                <pt idx="6">
                  <v xml:space="preserve">SANTA MARÍA CHIQUIMULA </v>
                </pt>
                <pt idx="7">
                  <v xml:space="preserve">TOTONICAPÁN </v>
                </pt>
                <pt idx="8">
                  <v xml:space="preserve">FORMACIÓN Y CAPACITACIÓN SEDE DEPARTAMENTAL </v>
                </pt>
              </strCache>
            </strRef>
          </cat>
          <val>
            <numRef>
              <f>RESUMEN!$G$7:$G$15</f>
              <numCache>
                <formatCode>General</formatCode>
                <ptCount val="9"/>
                <pt idx="0">
                  <v>111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71"/>
        <overlap val="4"/>
        <axId val="397060880"/>
        <axId val="397061296"/>
      </barChart>
      <catAx>
        <axId val="3970608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GT"/>
          </a:p>
        </txPr>
        <crossAx val="397061296"/>
        <crosses val="autoZero"/>
        <auto val="1"/>
        <lblAlgn val="ctr"/>
        <lblOffset val="100"/>
        <noMultiLvlLbl val="0"/>
      </catAx>
      <valAx>
        <axId val="397061296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397060880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4104361570188341"/>
          <y val="0.8905215108980942"/>
          <w val="0.160867699229904"/>
          <h val="0.0543482064741907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GT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INTERVENCIÓN DE CAPACITACIÓN POR ACTIVIDAD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GT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2649006622516556"/>
          <y val="0.1596324398785433"/>
          <w val="0.9514348785871964"/>
          <h val="0.7537998651409219"/>
        </manualLayout>
      </layout>
      <barChart>
        <barDir val="col"/>
        <grouping val="clustered"/>
        <varyColors val="1"/>
        <ser>
          <idx val="0"/>
          <order val="0"/>
          <tx>
            <strRef>
              <f>RESUMEN!$D$21</f>
              <strCache>
                <ptCount val="1"/>
                <pt idx="0">
                  <v>EVENTOS</v>
                </pt>
              </strCache>
            </strRef>
          </tx>
          <spPr>
            <a:ln>
              <a:prstDash val="solid"/>
            </a:ln>
          </spPr>
          <invertIfNegative val="0"/>
          <dPt>
            <idx val="0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7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GT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RESUMEN!$C$22:$C$29</f>
              <strCache>
                <ptCount val="8"/>
                <pt idx="0">
                  <v xml:space="preserve">Agrícola </v>
                </pt>
                <pt idx="1">
                  <v xml:space="preserve">Pecuario </v>
                </pt>
                <pt idx="2">
                  <v xml:space="preserve">Forestal </v>
                </pt>
                <pt idx="3">
                  <v xml:space="preserve">Hidrobiológico </v>
                </pt>
                <pt idx="4">
                  <v xml:space="preserve">Hogar Rural </v>
                </pt>
                <pt idx="5">
                  <v>Juventud y Niñez</v>
                </pt>
                <pt idx="6">
                  <v>Asociatividad y comercialización</v>
                </pt>
                <pt idx="7">
                  <v xml:space="preserve">Otro </v>
                </pt>
              </strCache>
            </strRef>
          </cat>
          <val>
            <numRef>
              <f>RESUMEN!$D$22:$D$29</f>
              <numCache>
                <formatCode>General</formatCode>
                <ptCount val="8"/>
                <pt idx="0">
                  <v>3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2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589981120"/>
        <axId val="589974048"/>
      </barChart>
      <catAx>
        <axId val="5899811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GT"/>
          </a:p>
        </txPr>
        <crossAx val="589974048"/>
        <crosses val="autoZero"/>
        <auto val="1"/>
        <lblAlgn val="ctr"/>
        <lblOffset val="100"/>
        <noMultiLvlLbl val="0"/>
      </catAx>
      <valAx>
        <axId val="58997404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58998112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DURACIÓN DE EVENTOS (HORAS)</a:t>
            </a:r>
            <a:r>
              <a:rPr lang="en-US" baseline="0">
                <a:solidFill>
                  <a:schemeClr val="tx2"/>
                </a:solidFill>
              </a:rPr>
              <a:t xml:space="preserve"> POR MUNICIPIO</a:t>
            </a:r>
            <a:endParaRPr lang="en-US">
              <a:solidFill>
                <a:schemeClr val="tx2"/>
              </a:solidFill>
            </a:endParaRPr>
          </a:p>
        </rich>
      </tx>
      <layout>
        <manualLayout>
          <xMode val="edge"/>
          <yMode val="edge"/>
          <wMode val="factor"/>
          <hMode val="factor"/>
          <x val="0.2907638142148531"/>
          <y val="0.0232559566417834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GT"/>
        </a:p>
      </txPr>
    </title>
    <plotArea>
      <layout/>
      <barChart>
        <barDir val="col"/>
        <grouping val="clustered"/>
        <varyColors val="1"/>
        <ser>
          <idx val="0"/>
          <order val="0"/>
          <tx>
            <strRef>
              <f>RESUMEN!$E$6</f>
              <strCache>
                <ptCount val="1"/>
                <pt idx="0">
                  <v>HORAS</v>
                </pt>
              </strCache>
            </strRef>
          </tx>
          <spPr>
            <a:ln>
              <a:prstDash val="solid"/>
            </a:ln>
          </spPr>
          <invertIfNegative val="0"/>
          <dPt>
            <idx val="0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5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6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7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8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9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0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1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2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3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4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5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6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7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  <a:lumOff val="2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  <a:lumOff val="2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  <a:lumOff val="2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8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9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0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1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2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3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8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8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8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4"/>
            <invertIfNegative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1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1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5"/>
            <invertIfNegative val="0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2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2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6"/>
            <invertIfNegative val="0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3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3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7"/>
            <invertIfNegative val="0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4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4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8"/>
            <invertIfNegative val="0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5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5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9"/>
            <invertIfNegative val="0"/>
            <bubble3D val="0"/>
            <spPr>
              <a:gradFill rotWithShape="1">
                <a:gsLst>
                  <a:gs pos="0">
                    <a:schemeClr val="accent6">
                      <a:shade val="51000"/>
                      <a:satMod val="130000"/>
                      <a:lumMod val="60000"/>
                      <a:lumOff val="40000"/>
                    </a:schemeClr>
                  </a:gs>
                  <a:gs pos="80000">
                    <a:schemeClr val="accent6">
                      <a:shade val="93000"/>
                      <a:satMod val="130000"/>
                      <a:lumMod val="60000"/>
                      <a:lumOff val="40000"/>
                    </a:schemeClr>
                  </a:gs>
                  <a:gs pos="100000">
                    <a:schemeClr val="accent6">
                      <a:shade val="94000"/>
                      <a:satMod val="135000"/>
                      <a:lumMod val="60000"/>
                      <a:lumOff val="40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GT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RESUMEN!$C$7:$C$15</f>
              <strCache>
                <ptCount val="9"/>
                <pt idx="0">
                  <v xml:space="preserve">MOMOSTENANGO </v>
                </pt>
                <pt idx="1">
                  <v xml:space="preserve">SAN ANDRÉS XECUL </v>
                </pt>
                <pt idx="2">
                  <v>SAN BARTOLO</v>
                </pt>
                <pt idx="3">
                  <v>SAN CRISTÓBAL TOTONICAPÁN</v>
                </pt>
                <pt idx="4">
                  <v xml:space="preserve">SAN FRANCISCO EL ALTO </v>
                </pt>
                <pt idx="5">
                  <v xml:space="preserve">SANTA LUCÍA LA REFORMA </v>
                </pt>
                <pt idx="6">
                  <v xml:space="preserve">SANTA MARÍA CHIQUIMULA </v>
                </pt>
                <pt idx="7">
                  <v xml:space="preserve">TOTONICAPÁN </v>
                </pt>
                <pt idx="8">
                  <v xml:space="preserve">FORMACIÓN Y CAPACITACIÓN SEDE DEPARTAMENTAL </v>
                </pt>
              </strCache>
            </strRef>
          </cat>
          <val>
            <numRef>
              <f>RESUMEN!$E$7:$E$15</f>
              <numCache>
                <formatCode>General</formatCode>
                <ptCount val="9"/>
                <pt idx="0">
                  <v>37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592383440"/>
        <axId val="592380112"/>
      </barChart>
      <catAx>
        <axId val="5923834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GT"/>
          </a:p>
        </txPr>
        <crossAx val="592380112"/>
        <crosses val="autoZero"/>
        <auto val="1"/>
        <lblAlgn val="ctr"/>
        <lblOffset val="100"/>
        <noMultiLvlLbl val="0"/>
      </catAx>
      <valAx>
        <axId val="592380112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59238344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image" Target="/xl/media/image2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1698625</colOff>
      <row>0</row>
      <rowOff>142875</rowOff>
    </from>
    <to>
      <col>3</col>
      <colOff>777875</colOff>
      <row>7</row>
      <rowOff>0</rowOff>
    </to>
    <pic>
      <nvPicPr>
        <cNvPr id="2" name="Imagen 1"/>
        <cNvPicPr/>
      </nvPicPr>
      <blipFill>
        <a:blip r:embed="rId1"/>
        <a:stretch>
          <a:fillRect/>
        </a:stretch>
      </blipFill>
      <spPr>
        <a:xfrm>
          <a:off x="2270125" y="142875"/>
          <a:ext cx="3302000" cy="13970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1</row>
      <rowOff>190499</rowOff>
    </from>
    <to>
      <col>19</col>
      <colOff>742950</colOff>
      <row>24</row>
      <rowOff>114299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</col>
      <colOff>0</colOff>
      <row>28</row>
      <rowOff>0</rowOff>
    </from>
    <to>
      <col>20</col>
      <colOff>285750</colOff>
      <row>48</row>
      <rowOff>133350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</col>
      <colOff>0</colOff>
      <row>31</row>
      <rowOff>0</rowOff>
    </from>
    <to>
      <col>8</col>
      <colOff>695325</colOff>
      <row>48</row>
      <rowOff>161925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20</col>
      <colOff>47625</colOff>
      <row>1</row>
      <rowOff>180975</rowOff>
    </from>
    <to>
      <col>31</col>
      <colOff>28575</colOff>
      <row>24</row>
      <rowOff>104775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</col>
      <colOff>142875</colOff>
      <row>0</row>
      <rowOff>171450</rowOff>
    </from>
    <to>
      <col>2</col>
      <colOff>1381125</colOff>
      <row>4</row>
      <rowOff>123825</rowOff>
    </to>
    <pic>
      <nvPicPr>
        <cNvPr id="3" name="Imagen 2"/>
        <cNvPicPr/>
      </nvPicPr>
      <blipFill>
        <a:blip r:embed="rId5"/>
        <a:stretch>
          <a:fillRect/>
        </a:stretch>
      </blipFill>
      <spPr>
        <a:xfrm>
          <a:off x="904875" y="171450"/>
          <a:ext cx="1695450" cy="71437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mailto:ivanguzman07.ig@gmail.com" TargetMode="External" Id="rId1" /><Relationship Type="http://schemas.openxmlformats.org/officeDocument/2006/relationships/hyperlink" Target="mailto:contratista.ivan.guzman@maga.gob.gt" TargetMode="External" Id="rId2" /><Relationship Type="http://schemas.openxmlformats.org/officeDocument/2006/relationships/hyperlink" Target="mailto:contratista.carlos.rosales@maga.gob.gt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127"/>
  <sheetViews>
    <sheetView showGridLines="0" tabSelected="1" zoomScale="60" zoomScaleNormal="60" zoomScalePageLayoutView="14" workbookViewId="0">
      <pane ySplit="10" topLeftCell="A11" activePane="bottomLeft" state="frozen"/>
      <selection pane="bottomLeft" activeCell="A17" sqref="A17"/>
    </sheetView>
  </sheetViews>
  <sheetFormatPr baseColWidth="10" defaultColWidth="11.42578125" defaultRowHeight="15"/>
  <cols>
    <col width="8.5703125" customWidth="1" style="5" min="1" max="1"/>
    <col width="45.85546875" customWidth="1" style="2" min="2" max="2"/>
    <col width="17.28515625" customWidth="1" style="5" min="3" max="3"/>
    <col width="25.140625" customWidth="1" style="25" min="4" max="4"/>
    <col width="18.85546875" customWidth="1" style="5" min="5" max="5"/>
    <col width="26" customWidth="1" style="5" min="6" max="7"/>
    <col width="23.140625" customWidth="1" style="5" min="8" max="8"/>
    <col width="12.28515625" bestFit="1" customWidth="1" style="5" min="9" max="9"/>
    <col width="13" bestFit="1" customWidth="1" style="5" min="10" max="10"/>
    <col width="12.28515625" bestFit="1" customWidth="1" style="5" min="11" max="11"/>
    <col width="12.28515625" customWidth="1" style="5" min="12" max="16"/>
    <col width="10.85546875" customWidth="1" style="59" min="17" max="17"/>
    <col width="10.7109375" customWidth="1" style="59" min="18" max="18"/>
    <col width="8.28515625" customWidth="1" style="59" min="19" max="19"/>
    <col width="9.42578125" customWidth="1" style="59" min="20" max="20"/>
    <col width="9.42578125" customWidth="1" style="5" min="21" max="22"/>
    <col width="20.28515625" customWidth="1" style="5" min="23" max="23"/>
    <col width="15.5703125" customWidth="1" style="4" min="24" max="24"/>
    <col width="9.28515625" bestFit="1" customWidth="1" style="3" min="25" max="25"/>
    <col width="11.28515625" customWidth="1" style="3" min="26" max="26"/>
    <col width="8.85546875" customWidth="1" style="3" min="27" max="27"/>
    <col width="26" customWidth="1" style="8" min="28" max="28"/>
    <col width="11.42578125" customWidth="1" style="5" min="29" max="16384"/>
  </cols>
  <sheetData>
    <row r="2">
      <c r="A2" s="118" t="inlineStr">
        <is>
          <t>MINISTERIO DE AGRICULTURA GANADERÍA Y ALIMENTACIÓN -MAGA-</t>
        </is>
      </c>
    </row>
    <row r="3">
      <c r="A3" s="118" t="inlineStr">
        <is>
          <t>DIRECCIÓN DE COORDINACIÓN REGIONAL Y EXTENSIÓN RURAL -DICORER-</t>
        </is>
      </c>
    </row>
    <row r="4">
      <c r="A4" s="118" t="inlineStr">
        <is>
          <t xml:space="preserve"> FORMACIÓN Y CAPACITACIÓN PARA EL DESARROLLO RURAL </t>
        </is>
      </c>
    </row>
    <row r="5">
      <c r="A5" s="118" t="inlineStr">
        <is>
          <t>INFORME MENSUAL DE TALLERES O EVENTOS DE CAPACITACIÓN A NIVEL MUNICIPAL/DEPARTAMENTAL AÑO 2026</t>
        </is>
      </c>
    </row>
    <row r="6" ht="24.75" customFormat="1" customHeight="1" s="5">
      <c r="A6" s="118" t="n"/>
      <c r="B6" s="118" t="n"/>
      <c r="C6" s="118" t="n"/>
      <c r="D6" s="10" t="n"/>
      <c r="E6" s="118" t="inlineStr">
        <is>
          <t>(1) Mes:</t>
        </is>
      </c>
      <c r="F6" s="124" t="n"/>
      <c r="G6" s="133" t="n"/>
      <c r="H6" s="118" t="n"/>
      <c r="I6" s="118" t="n"/>
      <c r="J6" s="118" t="n"/>
      <c r="K6" s="118" t="n"/>
      <c r="L6" s="118" t="n"/>
      <c r="M6" s="118" t="n"/>
      <c r="N6" s="118" t="n"/>
      <c r="O6" s="118" t="n"/>
      <c r="P6" s="118" t="n"/>
      <c r="Q6" s="123" t="n"/>
      <c r="R6" s="134" t="n"/>
      <c r="S6" s="134" t="n"/>
      <c r="T6" s="134" t="n"/>
      <c r="U6" s="133" t="n"/>
      <c r="V6" s="118" t="n"/>
      <c r="W6" s="118" t="n"/>
      <c r="X6" s="118" t="n"/>
      <c r="Y6" s="118" t="n"/>
      <c r="Z6" s="118" t="n"/>
      <c r="AA6" s="118" t="n"/>
      <c r="AB6" s="7" t="n"/>
    </row>
    <row r="7" ht="21.75" customHeight="1" s="63"/>
    <row r="8" ht="35.25" customFormat="1" customHeight="1" s="5">
      <c r="A8" s="121" t="inlineStr">
        <is>
          <t xml:space="preserve">(3) No. </t>
        </is>
      </c>
      <c r="B8" s="121" t="inlineStr">
        <is>
          <t xml:space="preserve">(4) Nombre del evento </t>
        </is>
      </c>
      <c r="C8" s="121" t="inlineStr">
        <is>
          <t xml:space="preserve">(5) Fecha de realización </t>
        </is>
      </c>
      <c r="D8" s="121" t="inlineStr">
        <is>
          <t xml:space="preserve">(6) Comunidad, Aldea/ Municipio </t>
        </is>
      </c>
      <c r="E8" s="121" t="inlineStr">
        <is>
          <t xml:space="preserve">(7) Duración del evento (horas) </t>
        </is>
      </c>
      <c r="F8" s="121" t="inlineStr">
        <is>
          <t xml:space="preserve">(8) Nombre del Promotor </t>
        </is>
      </c>
      <c r="G8" s="121" t="inlineStr">
        <is>
          <t>(9) Número de teléfono del promotor</t>
        </is>
      </c>
      <c r="H8" s="121" t="inlineStr">
        <is>
          <t xml:space="preserve">(10) Nombre del Capacitador </t>
        </is>
      </c>
      <c r="I8" s="121" t="inlineStr">
        <is>
          <t>(11) Orientación de la capacitación (Marcar con una X)</t>
        </is>
      </c>
      <c r="J8" s="134" t="n"/>
      <c r="K8" s="134" t="n"/>
      <c r="L8" s="134" t="n"/>
      <c r="M8" s="134" t="n"/>
      <c r="N8" s="134" t="n"/>
      <c r="O8" s="134" t="n"/>
      <c r="P8" s="133" t="n"/>
      <c r="Q8" s="121" t="inlineStr">
        <is>
          <t xml:space="preserve">(12) Número de Promotores </t>
        </is>
      </c>
      <c r="R8" s="135" t="n"/>
      <c r="S8" s="121" t="inlineStr">
        <is>
          <t xml:space="preserve">(13) Otros participantes </t>
        </is>
      </c>
      <c r="T8" s="135" t="n"/>
      <c r="U8" s="121" t="inlineStr">
        <is>
          <t xml:space="preserve">(14) Total participantes </t>
        </is>
      </c>
      <c r="V8" s="135" t="n"/>
      <c r="W8" s="121" t="inlineStr">
        <is>
          <t>(15) Institución con quien coordina</t>
        </is>
      </c>
      <c r="X8" s="122" t="inlineStr">
        <is>
          <t xml:space="preserve">(16) Costo total </t>
        </is>
      </c>
      <c r="Y8" s="122" t="inlineStr">
        <is>
          <t>(17) Medios de Verificación (Marcar con una X)</t>
        </is>
      </c>
      <c r="Z8" s="136" t="n"/>
      <c r="AA8" s="135" t="n"/>
      <c r="AB8" s="119" t="inlineStr">
        <is>
          <t xml:space="preserve">(18) Observaciones </t>
        </is>
      </c>
    </row>
    <row r="9" ht="61.5" customHeight="1" s="63">
      <c r="A9" s="137" t="n"/>
      <c r="B9" s="137" t="n"/>
      <c r="C9" s="137" t="n"/>
      <c r="D9" s="137" t="n"/>
      <c r="E9" s="137" t="n"/>
      <c r="F9" s="137" t="n"/>
      <c r="G9" s="137" t="n"/>
      <c r="H9" s="137" t="n"/>
      <c r="I9" s="121" t="inlineStr">
        <is>
          <t xml:space="preserve">Agrícola </t>
        </is>
      </c>
      <c r="J9" s="121" t="inlineStr">
        <is>
          <t xml:space="preserve">Pecuario </t>
        </is>
      </c>
      <c r="K9" s="121" t="inlineStr">
        <is>
          <t xml:space="preserve">Forestal </t>
        </is>
      </c>
      <c r="L9" s="121" t="inlineStr">
        <is>
          <t>Hidrobiológico</t>
        </is>
      </c>
      <c r="M9" s="121" t="inlineStr">
        <is>
          <t xml:space="preserve">Hogar Rural </t>
        </is>
      </c>
      <c r="N9" s="121" t="inlineStr">
        <is>
          <t>Juventud y Niñez</t>
        </is>
      </c>
      <c r="O9" s="121" t="inlineStr">
        <is>
          <t>Asociatividad y Comercialización</t>
        </is>
      </c>
      <c r="P9" s="121" t="inlineStr">
        <is>
          <t>Otro</t>
        </is>
      </c>
      <c r="Q9" s="138" t="n"/>
      <c r="R9" s="139" t="n"/>
      <c r="S9" s="138" t="n"/>
      <c r="T9" s="139" t="n"/>
      <c r="U9" s="138" t="n"/>
      <c r="V9" s="139" t="n"/>
      <c r="W9" s="137" t="n"/>
      <c r="X9" s="137" t="n"/>
      <c r="Y9" s="138" t="n"/>
      <c r="Z9" s="140" t="n"/>
      <c r="AA9" s="139" t="n"/>
      <c r="AB9" s="137" t="n"/>
    </row>
    <row r="10">
      <c r="A10" s="141" t="n"/>
      <c r="B10" s="141" t="n"/>
      <c r="C10" s="141" t="n"/>
      <c r="D10" s="141" t="n"/>
      <c r="E10" s="141" t="n"/>
      <c r="F10" s="141" t="n"/>
      <c r="G10" s="141" t="n"/>
      <c r="H10" s="141" t="n"/>
      <c r="I10" s="141" t="n"/>
      <c r="J10" s="141" t="n"/>
      <c r="K10" s="141" t="n"/>
      <c r="L10" s="141" t="n"/>
      <c r="M10" s="141" t="n"/>
      <c r="N10" s="141" t="n"/>
      <c r="O10" s="141" t="n"/>
      <c r="P10" s="141" t="n"/>
      <c r="Q10" s="121" t="inlineStr">
        <is>
          <t>H</t>
        </is>
      </c>
      <c r="R10" s="121" t="inlineStr">
        <is>
          <t>M</t>
        </is>
      </c>
      <c r="S10" s="121" t="inlineStr">
        <is>
          <t>H</t>
        </is>
      </c>
      <c r="T10" s="121" t="inlineStr">
        <is>
          <t>M</t>
        </is>
      </c>
      <c r="U10" s="121" t="inlineStr">
        <is>
          <t>H</t>
        </is>
      </c>
      <c r="V10" s="121" t="inlineStr">
        <is>
          <t>M</t>
        </is>
      </c>
      <c r="W10" s="141" t="n"/>
      <c r="X10" s="141" t="n"/>
      <c r="Y10" s="121" t="inlineStr">
        <is>
          <t>Fotos</t>
        </is>
      </c>
      <c r="Z10" s="121" t="inlineStr">
        <is>
          <t>Listados</t>
        </is>
      </c>
      <c r="AA10" s="121" t="inlineStr">
        <is>
          <t>otros</t>
        </is>
      </c>
      <c r="AB10" s="141" t="n"/>
    </row>
    <row r="11" ht="30" customFormat="1" customHeight="1" s="5">
      <c r="A11" s="127" t="inlineStr">
        <is>
          <t xml:space="preserve">MOMOSTENANGO </t>
        </is>
      </c>
      <c r="B11" s="140" t="n"/>
      <c r="C11" s="140" t="n"/>
      <c r="D11" s="140" t="n"/>
      <c r="E11" s="140" t="n"/>
      <c r="F11" s="140" t="n"/>
      <c r="G11" s="140" t="n"/>
      <c r="H11" s="140" t="n"/>
      <c r="I11" s="140" t="n"/>
      <c r="J11" s="140" t="n"/>
      <c r="K11" s="140" t="n"/>
      <c r="L11" s="140" t="n"/>
      <c r="M11" s="140" t="n"/>
      <c r="N11" s="140" t="n"/>
      <c r="O11" s="140" t="n"/>
      <c r="P11" s="140" t="n"/>
      <c r="Q11" s="140" t="n"/>
      <c r="R11" s="140" t="n"/>
      <c r="S11" s="140" t="n"/>
      <c r="T11" s="140" t="n"/>
      <c r="U11" s="140" t="n"/>
      <c r="V11" s="140" t="n"/>
      <c r="W11" s="140" t="n"/>
      <c r="X11" s="140" t="n"/>
      <c r="Y11" s="140" t="n"/>
      <c r="Z11" s="140" t="n"/>
      <c r="AA11" s="140" t="n"/>
      <c r="AB11" s="140" t="n"/>
    </row>
    <row r="12" ht="43.5" customFormat="1" customHeight="1" s="9">
      <c r="A12" s="15" t="n"/>
      <c r="B12" s="104" t="n"/>
      <c r="C12" s="22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46" t="n"/>
      <c r="R12" s="46" t="n"/>
      <c r="S12" s="46" t="n"/>
      <c r="T12" s="46" t="n"/>
      <c r="U12" s="15">
        <f>Q12+S12</f>
        <v/>
      </c>
      <c r="V12" s="15">
        <f>R12+T12</f>
        <v/>
      </c>
      <c r="W12" s="15" t="n"/>
      <c r="X12" s="142" t="n"/>
      <c r="Y12" s="142" t="n"/>
      <c r="Z12" s="142" t="n"/>
      <c r="AA12" s="142" t="n"/>
      <c r="AB12" s="15" t="n"/>
    </row>
    <row r="13" ht="34.5" customFormat="1" customHeight="1" s="9">
      <c r="A13" s="15" t="n"/>
      <c r="B13" s="79" t="n"/>
      <c r="C13" s="22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46" t="n"/>
      <c r="R13" s="46" t="n"/>
      <c r="S13" s="46" t="n"/>
      <c r="T13" s="46" t="n"/>
      <c r="U13" s="15">
        <f>Q13+S13</f>
        <v/>
      </c>
      <c r="V13" s="15">
        <f>R13+T13</f>
        <v/>
      </c>
      <c r="W13" s="15" t="n"/>
      <c r="X13" s="142" t="n"/>
      <c r="Y13" s="142" t="n"/>
      <c r="Z13" s="142" t="n"/>
      <c r="AA13" s="142" t="n"/>
      <c r="AB13" s="15" t="n"/>
    </row>
    <row r="14" ht="30" customFormat="1" customHeight="1" s="9">
      <c r="A14" s="15" t="n"/>
      <c r="B14" s="79" t="n"/>
      <c r="C14" s="22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46" t="n"/>
      <c r="R14" s="46" t="n"/>
      <c r="S14" s="46" t="n"/>
      <c r="T14" s="46" t="n"/>
      <c r="U14" s="15">
        <f>Q14+S14</f>
        <v/>
      </c>
      <c r="V14" s="15">
        <f>R14+T14</f>
        <v/>
      </c>
      <c r="W14" s="15" t="n"/>
      <c r="X14" s="142" t="n"/>
      <c r="Y14" s="142" t="n"/>
      <c r="Z14" s="142" t="n"/>
      <c r="AA14" s="142" t="n"/>
      <c r="AB14" s="15" t="n"/>
    </row>
    <row r="15" ht="49.5" customFormat="1" customHeight="1" s="9">
      <c r="A15" s="15" t="n"/>
      <c r="B15" s="79" t="n"/>
      <c r="C15" s="2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46" t="n"/>
      <c r="R15" s="46" t="n"/>
      <c r="S15" s="46" t="n"/>
      <c r="T15" s="46" t="n"/>
      <c r="U15" s="15">
        <f>Q15+S15</f>
        <v/>
      </c>
      <c r="V15" s="15">
        <f>R15+T15</f>
        <v/>
      </c>
      <c r="W15" s="15" t="n"/>
      <c r="X15" s="142" t="n"/>
      <c r="Y15" s="142" t="n"/>
      <c r="Z15" s="142" t="n"/>
      <c r="AA15" s="142" t="n"/>
      <c r="AB15" s="15" t="n"/>
    </row>
    <row r="16" ht="42" customFormat="1" customHeight="1" s="9">
      <c r="A16" s="15" t="n"/>
      <c r="B16" s="79" t="n"/>
      <c r="C16" s="22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46" t="n"/>
      <c r="R16" s="46" t="n"/>
      <c r="S16" s="46" t="n"/>
      <c r="T16" s="46" t="n"/>
      <c r="U16" s="15">
        <f>Q16+S16</f>
        <v/>
      </c>
      <c r="V16" s="15">
        <f>R16+T16</f>
        <v/>
      </c>
      <c r="W16" s="15" t="n"/>
      <c r="X16" s="142" t="n"/>
      <c r="Y16" s="142" t="n"/>
      <c r="Z16" s="142" t="n"/>
      <c r="AA16" s="142" t="n"/>
      <c r="AB16" s="15" t="n"/>
    </row>
    <row r="17" ht="43.5" customFormat="1" customHeight="1" s="5">
      <c r="A17" s="15" t="n"/>
      <c r="B17" s="79" t="n"/>
      <c r="C17" s="22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46" t="n"/>
      <c r="R17" s="46" t="n"/>
      <c r="S17" s="46" t="n"/>
      <c r="T17" s="46" t="n"/>
      <c r="U17" s="15">
        <f>Q17+S17</f>
        <v/>
      </c>
      <c r="V17" s="15">
        <f>R17+T17</f>
        <v/>
      </c>
      <c r="W17" s="15" t="n"/>
      <c r="X17" s="142" t="n"/>
      <c r="Y17" s="142" t="n"/>
      <c r="Z17" s="142" t="n"/>
      <c r="AA17" s="142" t="n"/>
      <c r="AB17" s="15" t="n"/>
    </row>
    <row r="18" ht="45.75" customFormat="1" customHeight="1" s="5">
      <c r="A18" s="15" t="n"/>
      <c r="B18" s="79" t="n"/>
      <c r="C18" s="22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46" t="n"/>
      <c r="R18" s="46" t="n"/>
      <c r="S18" s="46" t="n"/>
      <c r="T18" s="46" t="n"/>
      <c r="U18" s="15">
        <f>Q18+S18</f>
        <v/>
      </c>
      <c r="V18" s="15">
        <f>R18+T18</f>
        <v/>
      </c>
      <c r="W18" s="15" t="n"/>
      <c r="X18" s="142" t="n"/>
      <c r="Y18" s="142" t="n"/>
      <c r="Z18" s="142" t="n"/>
      <c r="AA18" s="142" t="n"/>
      <c r="AB18" s="15" t="n"/>
    </row>
    <row r="19" ht="36.75" customFormat="1" customHeight="1" s="5">
      <c r="A19" s="15" t="n"/>
      <c r="B19" s="79" t="n"/>
      <c r="C19" s="22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46" t="n"/>
      <c r="R19" s="46" t="n"/>
      <c r="S19" s="46" t="n"/>
      <c r="T19" s="46" t="n"/>
      <c r="U19" s="15">
        <f>Q19+S19</f>
        <v/>
      </c>
      <c r="V19" s="15">
        <f>R19+T19</f>
        <v/>
      </c>
      <c r="W19" s="15" t="n"/>
      <c r="X19" s="142" t="n"/>
      <c r="Y19" s="142" t="n"/>
      <c r="Z19" s="142" t="n"/>
      <c r="AA19" s="142" t="n"/>
      <c r="AB19" s="15" t="n"/>
    </row>
    <row r="20" ht="42" customFormat="1" customHeight="1" s="5">
      <c r="A20" s="15" t="n"/>
      <c r="B20" s="79" t="n"/>
      <c r="C20" s="22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46" t="n"/>
      <c r="R20" s="46" t="n"/>
      <c r="S20" s="46" t="n"/>
      <c r="T20" s="46" t="n"/>
      <c r="U20" s="15">
        <f>Q20+S20</f>
        <v/>
      </c>
      <c r="V20" s="15">
        <f>R20+T20</f>
        <v/>
      </c>
      <c r="W20" s="15" t="n"/>
      <c r="X20" s="142" t="n"/>
      <c r="Y20" s="142" t="n"/>
      <c r="Z20" s="142" t="n"/>
      <c r="AA20" s="142" t="n"/>
      <c r="AB20" s="15" t="n"/>
    </row>
    <row r="21" ht="40.5" customFormat="1" customHeight="1" s="5">
      <c r="A21" s="15" t="n"/>
      <c r="B21" s="79" t="n"/>
      <c r="C21" s="22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46" t="n"/>
      <c r="R21" s="46" t="n"/>
      <c r="S21" s="46" t="n"/>
      <c r="T21" s="46" t="n"/>
      <c r="U21" s="15">
        <f>Q21+S21</f>
        <v/>
      </c>
      <c r="V21" s="15">
        <f>R21+T21</f>
        <v/>
      </c>
      <c r="W21" s="15" t="n"/>
      <c r="X21" s="142" t="n"/>
      <c r="Y21" s="142" t="n"/>
      <c r="Z21" s="142" t="n"/>
      <c r="AA21" s="142" t="n"/>
      <c r="AB21" s="15" t="n"/>
    </row>
    <row r="22" ht="30" customFormat="1" customHeight="1" s="5">
      <c r="A22" s="143">
        <f>COUNT(A12:A21)</f>
        <v/>
      </c>
      <c r="B22" s="143" t="inlineStr">
        <is>
          <t xml:space="preserve">SUBTOTAL DE HORAS </t>
        </is>
      </c>
      <c r="C22" s="136" t="n"/>
      <c r="D22" s="135" t="n"/>
      <c r="E22" s="143">
        <f>SUM(E12:E21)</f>
        <v/>
      </c>
      <c r="F22" s="143" t="inlineStr">
        <is>
          <t>SUBTOTAL DE PARTICIPANTES</t>
        </is>
      </c>
      <c r="G22" s="136" t="n"/>
      <c r="H22" s="135" t="n"/>
      <c r="I22" s="143">
        <f>COUNTIF(I12:I21,"X")</f>
        <v/>
      </c>
      <c r="J22" s="143">
        <f>COUNTIF(J12:J21,"X")</f>
        <v/>
      </c>
      <c r="K22" s="143">
        <f>COUNTIF(K12:K21,"X")</f>
        <v/>
      </c>
      <c r="L22" s="143">
        <f>COUNTIF(L12:L21,"X")</f>
        <v/>
      </c>
      <c r="M22" s="143">
        <f>COUNTIF(M12:M21,"X")</f>
        <v/>
      </c>
      <c r="N22" s="143">
        <f>COUNTIF(N12:N21,"X")</f>
        <v/>
      </c>
      <c r="O22" s="143">
        <f>COUNTIF(O12:O21,"X")</f>
        <v/>
      </c>
      <c r="P22" s="143">
        <f>COUNTIF(P12:P21,"X")</f>
        <v/>
      </c>
      <c r="Q22" s="94">
        <f>SUM(Q12:Q21)</f>
        <v/>
      </c>
      <c r="R22" s="94">
        <f>SUM(R12:R21)</f>
        <v/>
      </c>
      <c r="S22" s="94">
        <f>SUM(S12:S21)</f>
        <v/>
      </c>
      <c r="T22" s="94">
        <f>SUM(T12:T21)</f>
        <v/>
      </c>
      <c r="U22" s="94">
        <f>SUM(U12:U21)</f>
        <v/>
      </c>
      <c r="V22" s="94">
        <f>SUM(V12:V21)</f>
        <v/>
      </c>
      <c r="W22" s="143" t="n"/>
      <c r="X22" s="136" t="n"/>
      <c r="Y22" s="136" t="n"/>
      <c r="Z22" s="136" t="n"/>
      <c r="AA22" s="136" t="n"/>
      <c r="AB22" s="135" t="n"/>
    </row>
    <row r="23" customFormat="1" s="5">
      <c r="A23" s="141" t="n"/>
      <c r="B23" s="138" t="n"/>
      <c r="C23" s="140" t="n"/>
      <c r="D23" s="139" t="n"/>
      <c r="E23" s="141" t="n"/>
      <c r="F23" s="138" t="n"/>
      <c r="G23" s="140" t="n"/>
      <c r="H23" s="139" t="n"/>
      <c r="I23" s="141" t="n"/>
      <c r="J23" s="141" t="n"/>
      <c r="K23" s="141" t="n"/>
      <c r="L23" s="141" t="n"/>
      <c r="M23" s="141" t="n"/>
      <c r="N23" s="141" t="n"/>
      <c r="O23" s="141" t="n"/>
      <c r="P23" s="141" t="n"/>
      <c r="Q23" s="143">
        <f>Q22+R22</f>
        <v/>
      </c>
      <c r="R23" s="133" t="n"/>
      <c r="S23" s="143">
        <f>S22+T22</f>
        <v/>
      </c>
      <c r="T23" s="133" t="n"/>
      <c r="U23" s="144">
        <f>U22+V22</f>
        <v/>
      </c>
      <c r="V23" s="133" t="n"/>
      <c r="W23" s="138" t="n"/>
      <c r="X23" s="140" t="n"/>
      <c r="Y23" s="140" t="n"/>
      <c r="Z23" s="140" t="n"/>
      <c r="AA23" s="140" t="n"/>
      <c r="AB23" s="139" t="n"/>
    </row>
    <row r="24" ht="30" customHeight="1" s="63">
      <c r="A24" s="111" t="inlineStr">
        <is>
          <t xml:space="preserve">SAN ANDRÉS XECUL </t>
        </is>
      </c>
      <c r="B24" s="134" t="n"/>
      <c r="C24" s="134" t="n"/>
      <c r="D24" s="134" t="n"/>
      <c r="E24" s="134" t="n"/>
      <c r="F24" s="134" t="n"/>
      <c r="G24" s="134" t="n"/>
      <c r="H24" s="134" t="n"/>
      <c r="I24" s="134" t="n"/>
      <c r="J24" s="134" t="n"/>
      <c r="K24" s="134" t="n"/>
      <c r="L24" s="134" t="n"/>
      <c r="M24" s="134" t="n"/>
      <c r="N24" s="134" t="n"/>
      <c r="O24" s="134" t="n"/>
      <c r="P24" s="134" t="n"/>
      <c r="Q24" s="134" t="n"/>
      <c r="R24" s="134" t="n"/>
      <c r="S24" s="134" t="n"/>
      <c r="T24" s="134" t="n"/>
      <c r="U24" s="134" t="n"/>
      <c r="V24" s="134" t="n"/>
      <c r="W24" s="134" t="n"/>
      <c r="X24" s="134" t="n"/>
      <c r="Y24" s="134" t="n"/>
      <c r="Z24" s="134" t="n"/>
      <c r="AA24" s="134" t="n"/>
      <c r="AB24" s="134" t="n"/>
    </row>
    <row r="25" ht="43.5" customHeight="1" s="63">
      <c r="A25" s="17" t="n"/>
      <c r="B25" s="76" t="n"/>
      <c r="C25" s="13" t="n"/>
      <c r="D25" s="35" t="n"/>
      <c r="E25" s="15" t="n"/>
      <c r="F25" s="35" t="n"/>
      <c r="G25" s="3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52" t="n"/>
      <c r="R25" s="52" t="n"/>
      <c r="S25" s="45" t="n"/>
      <c r="T25" s="45" t="n"/>
      <c r="U25" s="15">
        <f>Q25+S25</f>
        <v/>
      </c>
      <c r="V25" s="15">
        <f>R25+T25</f>
        <v/>
      </c>
      <c r="W25" s="15" t="n"/>
      <c r="X25" s="145" t="n"/>
      <c r="Y25" s="146" t="n"/>
      <c r="Z25" s="146" t="n"/>
      <c r="AA25" s="17" t="n"/>
      <c r="AB25" s="17" t="n"/>
    </row>
    <row r="26" ht="42" customHeight="1" s="63">
      <c r="A26" s="27" t="n"/>
      <c r="B26" s="79" t="n"/>
      <c r="C26" s="13" t="n"/>
      <c r="D26" s="15" t="n"/>
      <c r="E26" s="15" t="n"/>
      <c r="F26" s="35" t="n"/>
      <c r="G26" s="3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45" t="n"/>
      <c r="R26" s="46" t="n"/>
      <c r="S26" s="46" t="n"/>
      <c r="T26" s="45" t="n"/>
      <c r="U26" s="15">
        <f>Q26+S26</f>
        <v/>
      </c>
      <c r="V26" s="15">
        <f>R26+T26</f>
        <v/>
      </c>
      <c r="W26" s="15" t="n"/>
      <c r="X26" s="145" t="n"/>
      <c r="Y26" s="146" t="n"/>
      <c r="Z26" s="146" t="n"/>
      <c r="AA26" s="146" t="n"/>
      <c r="AB26" s="17" t="n"/>
    </row>
    <row r="27" ht="42" customHeight="1" s="63">
      <c r="A27" s="27" t="n"/>
      <c r="B27" s="79" t="n"/>
      <c r="C27" s="13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45" t="n"/>
      <c r="R27" s="46" t="n"/>
      <c r="S27" s="46" t="n"/>
      <c r="T27" s="45" t="n"/>
      <c r="U27" s="15">
        <f>Q27+S27</f>
        <v/>
      </c>
      <c r="V27" s="15">
        <f>R27+T27</f>
        <v/>
      </c>
      <c r="W27" s="15" t="n"/>
      <c r="X27" s="145" t="n"/>
      <c r="Y27" s="146" t="n"/>
      <c r="Z27" s="146" t="n"/>
      <c r="AA27" s="146" t="n"/>
      <c r="AB27" s="17" t="n"/>
    </row>
    <row r="28" ht="38.25" customHeight="1" s="63">
      <c r="A28" s="17" t="n"/>
      <c r="B28" s="79" t="n"/>
      <c r="C28" s="22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53" t="n"/>
      <c r="R28" s="53" t="n"/>
      <c r="S28" s="53" t="n"/>
      <c r="T28" s="53" t="n"/>
      <c r="U28" s="15">
        <f>Q28+S28</f>
        <v/>
      </c>
      <c r="V28" s="15">
        <f>R28+T28</f>
        <v/>
      </c>
      <c r="W28" s="15" t="n"/>
      <c r="X28" s="145" t="n"/>
      <c r="Y28" s="146" t="n"/>
      <c r="Z28" s="146" t="n"/>
      <c r="AA28" s="147" t="n"/>
      <c r="AB28" s="17" t="n"/>
    </row>
    <row r="29" ht="36.75" customHeight="1" s="63">
      <c r="A29" s="27" t="n"/>
      <c r="B29" s="79" t="n"/>
      <c r="C29" s="22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53" t="n"/>
      <c r="R29" s="53" t="n"/>
      <c r="S29" s="53" t="n"/>
      <c r="T29" s="53" t="n"/>
      <c r="U29" s="15">
        <f>Q29+S29</f>
        <v/>
      </c>
      <c r="V29" s="15">
        <f>R29+T29</f>
        <v/>
      </c>
      <c r="W29" s="15" t="n"/>
      <c r="X29" s="145" t="n"/>
      <c r="Y29" s="146" t="n"/>
      <c r="Z29" s="146" t="n"/>
      <c r="AA29" s="147" t="n"/>
      <c r="AB29" s="17" t="n"/>
    </row>
    <row r="30" ht="38.25" customHeight="1" s="63">
      <c r="A30" s="27" t="n"/>
      <c r="B30" s="79" t="n"/>
      <c r="C30" s="22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54" t="n"/>
      <c r="R30" s="54" t="n"/>
      <c r="S30" s="54" t="n"/>
      <c r="T30" s="54" t="n"/>
      <c r="U30" s="15">
        <f>Q30+S30</f>
        <v/>
      </c>
      <c r="V30" s="15">
        <f>R30+T30</f>
        <v/>
      </c>
      <c r="W30" s="15" t="n"/>
      <c r="X30" s="145" t="n"/>
      <c r="Y30" s="142" t="n"/>
      <c r="Z30" s="142" t="n"/>
      <c r="AA30" s="148" t="n"/>
      <c r="AB30" s="17" t="n"/>
    </row>
    <row r="31" ht="36.75" customHeight="1" s="63">
      <c r="A31" s="17" t="n"/>
      <c r="B31" s="79" t="n"/>
      <c r="C31" s="22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46" t="n"/>
      <c r="R31" s="46" t="n"/>
      <c r="S31" s="46" t="n"/>
      <c r="T31" s="46" t="n"/>
      <c r="U31" s="15">
        <f>Q31+S31</f>
        <v/>
      </c>
      <c r="V31" s="15">
        <f>R31+T31</f>
        <v/>
      </c>
      <c r="W31" s="15" t="n"/>
      <c r="X31" s="145" t="n"/>
      <c r="Y31" s="142" t="n"/>
      <c r="Z31" s="142" t="n"/>
      <c r="AA31" s="148" t="n"/>
      <c r="AB31" s="17" t="n"/>
    </row>
    <row r="32" ht="42" customHeight="1" s="63">
      <c r="A32" s="27" t="n"/>
      <c r="B32" s="79" t="n"/>
      <c r="C32" s="22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46" t="n"/>
      <c r="R32" s="46" t="n"/>
      <c r="S32" s="46" t="n"/>
      <c r="T32" s="46" t="n"/>
      <c r="U32" s="15">
        <f>Q32+S32</f>
        <v/>
      </c>
      <c r="V32" s="15">
        <f>R32+T32</f>
        <v/>
      </c>
      <c r="W32" s="15" t="n"/>
      <c r="X32" s="145" t="n"/>
      <c r="Y32" s="142" t="n"/>
      <c r="Z32" s="142" t="n"/>
      <c r="AA32" s="148" t="n"/>
      <c r="AB32" s="17" t="n"/>
    </row>
    <row r="33" ht="38.25" customHeight="1" s="63">
      <c r="A33" s="27" t="n"/>
      <c r="B33" s="79" t="n"/>
      <c r="C33" s="22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46" t="n"/>
      <c r="R33" s="46" t="n"/>
      <c r="S33" s="46" t="n"/>
      <c r="T33" s="46" t="n"/>
      <c r="U33" s="15">
        <f>Q33+S33</f>
        <v/>
      </c>
      <c r="V33" s="15">
        <f>R33+T33</f>
        <v/>
      </c>
      <c r="W33" s="15" t="n"/>
      <c r="X33" s="145" t="n"/>
      <c r="Y33" s="142" t="n"/>
      <c r="Z33" s="142" t="n"/>
      <c r="AA33" s="148" t="n"/>
      <c r="AB33" s="17" t="n"/>
    </row>
    <row r="34" ht="38.25" customHeight="1" s="63">
      <c r="A34" s="17" t="n"/>
      <c r="B34" s="79" t="n"/>
      <c r="C34" s="22" t="n"/>
      <c r="D34" s="15" t="n"/>
      <c r="E34" s="15" t="n"/>
      <c r="F34" s="25" t="n"/>
      <c r="G34" s="25" t="n"/>
      <c r="H34" s="1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55" t="n"/>
      <c r="R34" s="55" t="n"/>
      <c r="S34" s="55" t="n"/>
      <c r="T34" s="55" t="n"/>
      <c r="U34" s="15">
        <f>Q34+S34</f>
        <v/>
      </c>
      <c r="V34" s="15">
        <f>R34+T34</f>
        <v/>
      </c>
      <c r="W34" s="15" t="n"/>
      <c r="X34" s="145" t="n"/>
      <c r="Y34" s="142" t="n"/>
      <c r="Z34" s="142" t="n"/>
      <c r="AA34" s="148" t="n"/>
      <c r="AB34" s="17" t="n"/>
    </row>
    <row r="35" ht="36.75" customFormat="1" customHeight="1" s="5">
      <c r="A35" s="143">
        <f>COUNT(A25:A34)</f>
        <v/>
      </c>
      <c r="B35" s="143" t="inlineStr">
        <is>
          <t xml:space="preserve">SUBTOTAL DE HORAS </t>
        </is>
      </c>
      <c r="C35" s="136" t="n"/>
      <c r="D35" s="135" t="n"/>
      <c r="E35" s="143">
        <f>SUM(E25:E34)</f>
        <v/>
      </c>
      <c r="F35" s="143" t="inlineStr">
        <is>
          <t>SUBTOTAL DE PARTICIPANTES</t>
        </is>
      </c>
      <c r="G35" s="136" t="n"/>
      <c r="H35" s="135" t="n"/>
      <c r="I35" s="143">
        <f>COUNTIF(I25:I34,"X")</f>
        <v/>
      </c>
      <c r="J35" s="143">
        <f>COUNTIF(J25:J34,"X")</f>
        <v/>
      </c>
      <c r="K35" s="143">
        <f>COUNTIF(K25:K34,"X")</f>
        <v/>
      </c>
      <c r="L35" s="143">
        <f>COUNTIF(L25:L34,"X")</f>
        <v/>
      </c>
      <c r="M35" s="143">
        <f>COUNTIF(M25:M34,"X")</f>
        <v/>
      </c>
      <c r="N35" s="143">
        <f>COUNTIF(N25:N34,"X")</f>
        <v/>
      </c>
      <c r="O35" s="143">
        <f>COUNTIF(O25:O34,"X")</f>
        <v/>
      </c>
      <c r="P35" s="143">
        <f>COUNTIF(P25:P34,"X")</f>
        <v/>
      </c>
      <c r="Q35" s="94">
        <f>SUM(Q25:Q34)</f>
        <v/>
      </c>
      <c r="R35" s="94">
        <f>SUM(R25:R34)</f>
        <v/>
      </c>
      <c r="S35" s="94">
        <f>SUM(S25:S34)</f>
        <v/>
      </c>
      <c r="T35" s="94">
        <f>SUM(T25:T34)</f>
        <v/>
      </c>
      <c r="U35" s="94">
        <f>SUM(U25:U34)</f>
        <v/>
      </c>
      <c r="V35" s="94">
        <f>SUM(V25:V34)</f>
        <v/>
      </c>
      <c r="W35" s="143" t="n"/>
      <c r="X35" s="136" t="n"/>
      <c r="Y35" s="136" t="n"/>
      <c r="Z35" s="136" t="n"/>
      <c r="AA35" s="136" t="n"/>
      <c r="AB35" s="135" t="n"/>
    </row>
    <row r="36" ht="40.5" customFormat="1" customHeight="1" s="5">
      <c r="A36" s="141" t="n"/>
      <c r="B36" s="138" t="n"/>
      <c r="C36" s="140" t="n"/>
      <c r="D36" s="139" t="n"/>
      <c r="E36" s="141" t="n"/>
      <c r="F36" s="138" t="n"/>
      <c r="G36" s="140" t="n"/>
      <c r="H36" s="139" t="n"/>
      <c r="I36" s="141" t="n"/>
      <c r="J36" s="141" t="n"/>
      <c r="K36" s="141" t="n"/>
      <c r="L36" s="141" t="n"/>
      <c r="M36" s="141" t="n"/>
      <c r="N36" s="141" t="n"/>
      <c r="O36" s="141" t="n"/>
      <c r="P36" s="141" t="n"/>
      <c r="Q36" s="143">
        <f>Q35+R35</f>
        <v/>
      </c>
      <c r="R36" s="133" t="n"/>
      <c r="S36" s="143">
        <f>S35+T35</f>
        <v/>
      </c>
      <c r="T36" s="133" t="n"/>
      <c r="U36" s="144">
        <f>U35+V35</f>
        <v/>
      </c>
      <c r="V36" s="133" t="n"/>
      <c r="W36" s="138" t="n"/>
      <c r="X36" s="140" t="n"/>
      <c r="Y36" s="140" t="n"/>
      <c r="Z36" s="140" t="n"/>
      <c r="AA36" s="140" t="n"/>
      <c r="AB36" s="139" t="n"/>
    </row>
    <row r="37" ht="28.5" customHeight="1" s="63">
      <c r="A37" s="120" t="inlineStr">
        <is>
          <t>SAN BARTOLO</t>
        </is>
      </c>
      <c r="B37" s="136" t="n"/>
      <c r="C37" s="136" t="n"/>
      <c r="D37" s="136" t="n"/>
      <c r="E37" s="136" t="n"/>
      <c r="F37" s="136" t="n"/>
      <c r="G37" s="136" t="n"/>
      <c r="H37" s="136" t="n"/>
      <c r="I37" s="136" t="n"/>
      <c r="J37" s="136" t="n"/>
      <c r="K37" s="136" t="n"/>
      <c r="L37" s="136" t="n"/>
      <c r="M37" s="136" t="n"/>
      <c r="N37" s="136" t="n"/>
      <c r="O37" s="136" t="n"/>
      <c r="P37" s="136" t="n"/>
      <c r="Q37" s="136" t="n"/>
      <c r="R37" s="136" t="n"/>
      <c r="S37" s="136" t="n"/>
      <c r="T37" s="136" t="n"/>
      <c r="U37" s="136" t="n"/>
      <c r="V37" s="136" t="n"/>
      <c r="W37" s="136" t="n"/>
      <c r="X37" s="136" t="n"/>
      <c r="Y37" s="136" t="n"/>
      <c r="Z37" s="136" t="n"/>
      <c r="AA37" s="136" t="n"/>
      <c r="AB37" s="136" t="n"/>
    </row>
    <row r="38" ht="42" customHeight="1" s="63">
      <c r="A38" s="36" t="n"/>
      <c r="B38" s="78" t="n"/>
      <c r="C38" s="38" t="n"/>
      <c r="D38" s="37" t="n"/>
      <c r="E38" s="39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56" t="n"/>
      <c r="R38" s="60" t="n"/>
      <c r="S38" s="60" t="n"/>
      <c r="T38" s="56" t="n"/>
      <c r="U38" s="15">
        <f>Q38+S38</f>
        <v/>
      </c>
      <c r="V38" s="15">
        <f>R38+T38</f>
        <v/>
      </c>
      <c r="W38" s="40" t="n"/>
      <c r="X38" s="149" t="n"/>
      <c r="Y38" s="150" t="n"/>
      <c r="Z38" s="150" t="n"/>
      <c r="AA38" s="150" t="n"/>
      <c r="AB38" s="40" t="n"/>
    </row>
    <row r="39" ht="45.75" customFormat="1" customHeight="1" s="5">
      <c r="A39" s="36" t="n"/>
      <c r="B39" s="78" t="n"/>
      <c r="C39" s="38" t="n"/>
      <c r="D39" s="37" t="n"/>
      <c r="E39" s="39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56" t="n"/>
      <c r="R39" s="60" t="n"/>
      <c r="S39" s="60" t="n"/>
      <c r="T39" s="56" t="n"/>
      <c r="U39" s="15">
        <f>Q39+S39</f>
        <v/>
      </c>
      <c r="V39" s="15">
        <f>R39+T39</f>
        <v/>
      </c>
      <c r="W39" s="40" t="n"/>
      <c r="X39" s="149" t="n"/>
      <c r="Y39" s="150" t="n"/>
      <c r="Z39" s="150" t="n"/>
      <c r="AA39" s="150" t="n"/>
      <c r="AB39" s="40" t="n"/>
    </row>
    <row r="40" ht="40.5" customFormat="1" customHeight="1" s="5">
      <c r="A40" s="36" t="n"/>
      <c r="B40" s="78" t="n"/>
      <c r="C40" s="38" t="n"/>
      <c r="D40" s="37" t="n"/>
      <c r="E40" s="39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56" t="n"/>
      <c r="R40" s="60" t="n"/>
      <c r="S40" s="60" t="n"/>
      <c r="T40" s="56" t="n"/>
      <c r="U40" s="15">
        <f>Q40+S40</f>
        <v/>
      </c>
      <c r="V40" s="15">
        <f>R40+T40</f>
        <v/>
      </c>
      <c r="W40" s="40" t="n"/>
      <c r="X40" s="149" t="n"/>
      <c r="Y40" s="150" t="n"/>
      <c r="Z40" s="150" t="n"/>
      <c r="AA40" s="150" t="n"/>
      <c r="AB40" s="40" t="n"/>
    </row>
    <row r="41" ht="40.5" customFormat="1" customHeight="1" s="5">
      <c r="A41" s="36" t="n"/>
      <c r="B41" s="78" t="n"/>
      <c r="C41" s="38" t="n"/>
      <c r="D41" s="37" t="n"/>
      <c r="E41" s="39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56" t="n"/>
      <c r="R41" s="60" t="n"/>
      <c r="S41" s="60" t="n"/>
      <c r="T41" s="56" t="n"/>
      <c r="U41" s="15">
        <f>Q41+S41</f>
        <v/>
      </c>
      <c r="V41" s="15">
        <f>R41+T41</f>
        <v/>
      </c>
      <c r="W41" s="40" t="n"/>
      <c r="X41" s="149" t="n"/>
      <c r="Y41" s="150" t="n"/>
      <c r="Z41" s="150" t="n"/>
      <c r="AA41" s="150" t="n"/>
      <c r="AB41" s="40" t="n"/>
    </row>
    <row r="42" ht="36" customFormat="1" customHeight="1" s="5">
      <c r="A42" s="36" t="n"/>
      <c r="B42" s="78" t="n"/>
      <c r="C42" s="38" t="n"/>
      <c r="D42" s="37" t="n"/>
      <c r="E42" s="39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56" t="n"/>
      <c r="R42" s="60" t="n"/>
      <c r="S42" s="60" t="n"/>
      <c r="T42" s="56" t="n"/>
      <c r="U42" s="15">
        <f>Q42+S42</f>
        <v/>
      </c>
      <c r="V42" s="15">
        <f>R42+T42</f>
        <v/>
      </c>
      <c r="W42" s="40" t="n"/>
      <c r="X42" s="149" t="n"/>
      <c r="Y42" s="150" t="n"/>
      <c r="Z42" s="150" t="n"/>
      <c r="AA42" s="150" t="n"/>
      <c r="AB42" s="40" t="n"/>
    </row>
    <row r="43" ht="39.75" customFormat="1" customHeight="1" s="5">
      <c r="A43" s="36" t="n"/>
      <c r="B43" s="78" t="n"/>
      <c r="C43" s="38" t="n"/>
      <c r="D43" s="37" t="n"/>
      <c r="E43" s="39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56" t="n"/>
      <c r="R43" s="60" t="n"/>
      <c r="S43" s="60" t="n"/>
      <c r="T43" s="56" t="n"/>
      <c r="U43" s="15">
        <f>Q43+S43</f>
        <v/>
      </c>
      <c r="V43" s="15">
        <f>R43+T43</f>
        <v/>
      </c>
      <c r="W43" s="40" t="n"/>
      <c r="X43" s="149" t="n"/>
      <c r="Y43" s="150" t="n"/>
      <c r="Z43" s="150" t="n"/>
      <c r="AA43" s="150" t="n"/>
      <c r="AB43" s="40" t="n"/>
    </row>
    <row r="44" ht="36.75" customFormat="1" customHeight="1" s="5">
      <c r="A44" s="36" t="n"/>
      <c r="B44" s="78" t="n"/>
      <c r="C44" s="38" t="n"/>
      <c r="D44" s="37" t="n"/>
      <c r="E44" s="39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56" t="n"/>
      <c r="R44" s="60" t="n"/>
      <c r="S44" s="60" t="n"/>
      <c r="T44" s="56" t="n"/>
      <c r="U44" s="15">
        <f>Q44+S44</f>
        <v/>
      </c>
      <c r="V44" s="15">
        <f>R44+T44</f>
        <v/>
      </c>
      <c r="W44" s="40" t="n"/>
      <c r="X44" s="149" t="n"/>
      <c r="Y44" s="150" t="n"/>
      <c r="Z44" s="150" t="n"/>
      <c r="AA44" s="150" t="n"/>
      <c r="AB44" s="40" t="n"/>
    </row>
    <row r="45" ht="36.75" customFormat="1" customHeight="1" s="5">
      <c r="A45" s="36" t="n"/>
      <c r="B45" s="78" t="n"/>
      <c r="C45" s="38" t="n"/>
      <c r="D45" s="37" t="n"/>
      <c r="E45" s="39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56" t="n"/>
      <c r="R45" s="60" t="n"/>
      <c r="S45" s="60" t="n"/>
      <c r="T45" s="56" t="n"/>
      <c r="U45" s="15">
        <f>Q45+S45</f>
        <v/>
      </c>
      <c r="V45" s="15">
        <f>R45+T45</f>
        <v/>
      </c>
      <c r="W45" s="40" t="n"/>
      <c r="X45" s="149" t="n"/>
      <c r="Y45" s="150" t="n"/>
      <c r="Z45" s="150" t="n"/>
      <c r="AA45" s="150" t="n"/>
      <c r="AB45" s="40" t="n"/>
    </row>
    <row r="46" ht="32.25" customFormat="1" customHeight="1" s="5">
      <c r="A46" s="36" t="n"/>
      <c r="B46" s="78" t="n"/>
      <c r="C46" s="38" t="n"/>
      <c r="D46" s="37" t="n"/>
      <c r="E46" s="39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56" t="n"/>
      <c r="R46" s="60" t="n"/>
      <c r="S46" s="60" t="n"/>
      <c r="T46" s="56" t="n"/>
      <c r="U46" s="15">
        <f>Q46+S46</f>
        <v/>
      </c>
      <c r="V46" s="15">
        <f>R46+T46</f>
        <v/>
      </c>
      <c r="W46" s="40" t="n"/>
      <c r="X46" s="149" t="n"/>
      <c r="Y46" s="150" t="n"/>
      <c r="Z46" s="150" t="n"/>
      <c r="AA46" s="150" t="n"/>
      <c r="AB46" s="40" t="n"/>
    </row>
    <row r="47" ht="32.25" customFormat="1" customHeight="1" s="5">
      <c r="A47" s="36" t="n"/>
      <c r="B47" s="78" t="n"/>
      <c r="C47" s="38" t="n"/>
      <c r="D47" s="37" t="n"/>
      <c r="E47" s="39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56" t="n"/>
      <c r="R47" s="60" t="n"/>
      <c r="S47" s="60" t="n"/>
      <c r="T47" s="56" t="n"/>
      <c r="U47" s="15">
        <f>Q47+S47</f>
        <v/>
      </c>
      <c r="V47" s="15">
        <f>R47+T47</f>
        <v/>
      </c>
      <c r="W47" s="40" t="n"/>
      <c r="X47" s="149" t="n"/>
      <c r="Y47" s="150" t="n"/>
      <c r="Z47" s="150" t="n"/>
      <c r="AA47" s="150" t="n"/>
      <c r="AB47" s="40" t="n"/>
    </row>
    <row r="48" ht="28.5" customFormat="1" customHeight="1" s="5">
      <c r="A48" s="143">
        <f>COUNT(A38:A47)</f>
        <v/>
      </c>
      <c r="B48" s="143" t="inlineStr">
        <is>
          <t xml:space="preserve">SUBTOTAL DE HORAS </t>
        </is>
      </c>
      <c r="C48" s="136" t="n"/>
      <c r="D48" s="135" t="n"/>
      <c r="E48" s="143">
        <f>SUM(E38:E47)</f>
        <v/>
      </c>
      <c r="F48" s="143" t="inlineStr">
        <is>
          <t>SUBTOTAL DE PARTICIPANTES</t>
        </is>
      </c>
      <c r="G48" s="136" t="n"/>
      <c r="H48" s="135" t="n"/>
      <c r="I48" s="143">
        <f>COUNTIF(I38:I47,"X")</f>
        <v/>
      </c>
      <c r="J48" s="143">
        <f>COUNTIF(J38:J47,"X")</f>
        <v/>
      </c>
      <c r="K48" s="143">
        <f>COUNTIF(K38:K47,"X")</f>
        <v/>
      </c>
      <c r="L48" s="143">
        <f>COUNTIF(L38:L47,"X")</f>
        <v/>
      </c>
      <c r="M48" s="143">
        <f>COUNTIF(M38:M47,"X")</f>
        <v/>
      </c>
      <c r="N48" s="143">
        <f>COUNTIF(N38:N47,"X")</f>
        <v/>
      </c>
      <c r="O48" s="143">
        <f>COUNTIF(O38:O47,"X")</f>
        <v/>
      </c>
      <c r="P48" s="143">
        <f>COUNTIF(P38:P47,"X")</f>
        <v/>
      </c>
      <c r="Q48" s="94">
        <f>SUM(Q38:Q47)</f>
        <v/>
      </c>
      <c r="R48" s="94">
        <f>SUM(R38:R47)</f>
        <v/>
      </c>
      <c r="S48" s="94">
        <f>SUM(S38:S47)</f>
        <v/>
      </c>
      <c r="T48" s="94">
        <f>SUM(T38:T47)</f>
        <v/>
      </c>
      <c r="U48" s="94">
        <f>SUM(U38:U47)</f>
        <v/>
      </c>
      <c r="V48" s="94">
        <f>SUM(V38:V47)</f>
        <v/>
      </c>
      <c r="W48" s="143" t="n"/>
      <c r="X48" s="136" t="n"/>
      <c r="Y48" s="136" t="n"/>
      <c r="Z48" s="136" t="n"/>
      <c r="AA48" s="136" t="n"/>
      <c r="AB48" s="135" t="n"/>
    </row>
    <row r="49" ht="32.25" customFormat="1" customHeight="1" s="5">
      <c r="A49" s="141" t="n"/>
      <c r="B49" s="138" t="n"/>
      <c r="C49" s="140" t="n"/>
      <c r="D49" s="139" t="n"/>
      <c r="E49" s="141" t="n"/>
      <c r="F49" s="138" t="n"/>
      <c r="G49" s="140" t="n"/>
      <c r="H49" s="139" t="n"/>
      <c r="I49" s="141" t="n"/>
      <c r="J49" s="141" t="n"/>
      <c r="K49" s="141" t="n"/>
      <c r="L49" s="141" t="n"/>
      <c r="M49" s="141" t="n"/>
      <c r="N49" s="141" t="n"/>
      <c r="O49" s="141" t="n"/>
      <c r="P49" s="141" t="n"/>
      <c r="Q49" s="143">
        <f>Q48+R48</f>
        <v/>
      </c>
      <c r="R49" s="133" t="n"/>
      <c r="S49" s="143">
        <f>S48+T48</f>
        <v/>
      </c>
      <c r="T49" s="133" t="n"/>
      <c r="U49" s="144">
        <f>U48+V48</f>
        <v/>
      </c>
      <c r="V49" s="133" t="n"/>
      <c r="W49" s="138" t="n"/>
      <c r="X49" s="140" t="n"/>
      <c r="Y49" s="140" t="n"/>
      <c r="Z49" s="140" t="n"/>
      <c r="AA49" s="140" t="n"/>
      <c r="AB49" s="139" t="n"/>
    </row>
    <row r="50" ht="30.75" customHeight="1" s="63">
      <c r="A50" s="111" t="inlineStr">
        <is>
          <t>SAN CRISTÓBAL TOTONICAPÁN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</row>
    <row r="51" ht="40.5" customHeight="1" s="63">
      <c r="A51" s="27" t="n"/>
      <c r="B51" s="79" t="n"/>
      <c r="C51" s="22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45" t="n"/>
      <c r="R51" s="46" t="n"/>
      <c r="S51" s="46" t="n"/>
      <c r="T51" s="45" t="n"/>
      <c r="U51" s="15">
        <f>Q51+S51</f>
        <v/>
      </c>
      <c r="V51" s="15">
        <f>R51+T51</f>
        <v/>
      </c>
      <c r="W51" s="15" t="n"/>
      <c r="X51" s="142" t="n"/>
      <c r="Y51" s="146" t="n"/>
      <c r="Z51" s="146" t="n"/>
      <c r="AA51" s="146" t="n"/>
      <c r="AB51" s="15" t="n"/>
    </row>
    <row r="52" ht="40.5" customHeight="1" s="63">
      <c r="A52" s="27" t="n"/>
      <c r="B52" s="79" t="n"/>
      <c r="C52" s="22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45" t="n"/>
      <c r="R52" s="46" t="n"/>
      <c r="S52" s="46" t="n"/>
      <c r="T52" s="45" t="n"/>
      <c r="U52" s="15">
        <f>Q52+S52</f>
        <v/>
      </c>
      <c r="V52" s="15">
        <f>R52+T52</f>
        <v/>
      </c>
      <c r="W52" s="15" t="n"/>
      <c r="X52" s="142" t="n"/>
      <c r="Y52" s="146" t="n"/>
      <c r="Z52" s="146" t="n"/>
      <c r="AA52" s="146" t="n"/>
      <c r="AB52" s="15" t="n"/>
    </row>
    <row r="53" ht="39.75" customHeight="1" s="63">
      <c r="A53" s="27" t="n"/>
      <c r="B53" s="79" t="n"/>
      <c r="C53" s="22" t="n"/>
      <c r="D53" s="15" t="n"/>
      <c r="E53" s="15" t="n"/>
      <c r="F53" s="27" t="n"/>
      <c r="G53" s="27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45" t="n"/>
      <c r="R53" s="45" t="n"/>
      <c r="S53" s="45" t="n"/>
      <c r="T53" s="45" t="n"/>
      <c r="U53" s="15">
        <f>Q53+S53</f>
        <v/>
      </c>
      <c r="V53" s="15">
        <f>R53+T53</f>
        <v/>
      </c>
      <c r="W53" s="15" t="n"/>
      <c r="X53" s="142" t="n"/>
      <c r="Y53" s="146" t="n"/>
      <c r="Z53" s="146" t="n"/>
      <c r="AA53" s="146" t="n"/>
      <c r="AB53" s="15" t="n"/>
    </row>
    <row r="54" ht="45.75" customHeight="1" s="63">
      <c r="A54" s="27" t="n"/>
      <c r="B54" s="79" t="n"/>
      <c r="C54" s="26" t="n"/>
      <c r="D54" s="15" t="n"/>
      <c r="E54" s="27" t="n"/>
      <c r="F54" s="27" t="n"/>
      <c r="G54" s="27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45" t="n"/>
      <c r="R54" s="45" t="n"/>
      <c r="S54" s="45" t="n"/>
      <c r="T54" s="45" t="n"/>
      <c r="U54" s="15">
        <f>Q54+S54</f>
        <v/>
      </c>
      <c r="V54" s="15">
        <f>R54+T54</f>
        <v/>
      </c>
      <c r="W54" s="15" t="n"/>
      <c r="X54" s="142" t="n"/>
      <c r="Y54" s="146" t="n"/>
      <c r="Z54" s="146" t="n"/>
      <c r="AA54" s="34" t="n"/>
      <c r="AB54" s="27" t="n"/>
    </row>
    <row r="55" ht="39.75" customHeight="1" s="63">
      <c r="A55" s="27" t="n"/>
      <c r="B55" s="79" t="n"/>
      <c r="C55" s="22" t="n"/>
      <c r="D55" s="15" t="n"/>
      <c r="E55" s="43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45" t="n"/>
      <c r="R55" s="46" t="n"/>
      <c r="S55" s="46" t="n"/>
      <c r="T55" s="45" t="n"/>
      <c r="U55" s="15">
        <f>Q55+S55</f>
        <v/>
      </c>
      <c r="V55" s="15">
        <f>R55+T55</f>
        <v/>
      </c>
      <c r="W55" s="15" t="n"/>
      <c r="X55" s="142" t="n"/>
      <c r="Y55" s="146" t="n"/>
      <c r="Z55" s="146" t="n"/>
      <c r="AA55" s="146" t="n"/>
      <c r="AB55" s="15" t="n"/>
    </row>
    <row r="56" ht="42" customHeight="1" s="63">
      <c r="A56" s="27" t="n"/>
      <c r="B56" s="79" t="n"/>
      <c r="C56" s="22" t="n"/>
      <c r="D56" s="15" t="n"/>
      <c r="E56" s="28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45" t="n"/>
      <c r="R56" s="46" t="n"/>
      <c r="S56" s="46" t="n"/>
      <c r="T56" s="45" t="n"/>
      <c r="U56" s="15">
        <f>Q56+S56</f>
        <v/>
      </c>
      <c r="V56" s="15">
        <f>R56+T56</f>
        <v/>
      </c>
      <c r="W56" s="15" t="n"/>
      <c r="X56" s="142" t="n"/>
      <c r="Y56" s="146" t="n"/>
      <c r="Z56" s="146" t="n"/>
      <c r="AA56" s="146" t="n"/>
      <c r="AB56" s="15" t="n"/>
    </row>
    <row r="57" ht="40.5" customHeight="1" s="63">
      <c r="A57" s="27" t="n"/>
      <c r="B57" s="79" t="n"/>
      <c r="C57" s="26" t="n"/>
      <c r="D57" s="15" t="n"/>
      <c r="E57" s="44" t="n"/>
      <c r="F57" s="27" t="n"/>
      <c r="G57" s="27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45" t="n"/>
      <c r="R57" s="45" t="n"/>
      <c r="S57" s="45" t="n"/>
      <c r="T57" s="45" t="n"/>
      <c r="U57" s="15">
        <f>Q57+S57</f>
        <v/>
      </c>
      <c r="V57" s="15">
        <f>R57+T57</f>
        <v/>
      </c>
      <c r="W57" s="15" t="n"/>
      <c r="X57" s="142" t="n"/>
      <c r="Y57" s="146" t="n"/>
      <c r="Z57" s="146" t="n"/>
      <c r="AA57" s="27" t="n"/>
      <c r="AB57" s="27" t="n"/>
    </row>
    <row r="58" ht="39.75" customHeight="1" s="63">
      <c r="A58" s="27" t="n"/>
      <c r="B58" s="79" t="n"/>
      <c r="C58" s="26" t="n"/>
      <c r="D58" s="15" t="n"/>
      <c r="E58" s="44" t="n"/>
      <c r="F58" s="27" t="n"/>
      <c r="G58" s="27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45" t="n"/>
      <c r="R58" s="45" t="n"/>
      <c r="S58" s="45" t="n"/>
      <c r="T58" s="45" t="n"/>
      <c r="U58" s="15">
        <f>Q58+S58</f>
        <v/>
      </c>
      <c r="V58" s="15">
        <f>R58+T58</f>
        <v/>
      </c>
      <c r="W58" s="15" t="n"/>
      <c r="X58" s="142" t="n"/>
      <c r="Y58" s="146" t="n"/>
      <c r="Z58" s="146" t="n"/>
      <c r="AA58" s="146" t="n"/>
      <c r="AB58" s="15" t="n"/>
    </row>
    <row r="59" ht="42" customHeight="1" s="63">
      <c r="A59" s="27" t="n"/>
      <c r="B59" s="79" t="n"/>
      <c r="C59" s="22" t="n"/>
      <c r="D59" s="15" t="n"/>
      <c r="E59" s="28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45" t="n"/>
      <c r="R59" s="46" t="n"/>
      <c r="S59" s="46" t="n"/>
      <c r="T59" s="45" t="n"/>
      <c r="U59" s="15">
        <f>Q59+S59</f>
        <v/>
      </c>
      <c r="V59" s="15">
        <f>R59+T59</f>
        <v/>
      </c>
      <c r="W59" s="15" t="n"/>
      <c r="X59" s="142" t="n"/>
      <c r="Y59" s="146" t="n"/>
      <c r="Z59" s="146" t="n"/>
      <c r="AA59" s="146" t="n"/>
      <c r="AB59" s="15" t="n"/>
    </row>
    <row r="60" ht="42" customHeight="1" s="63">
      <c r="A60" s="27" t="n"/>
      <c r="B60" s="79" t="n"/>
      <c r="C60" s="22" t="n"/>
      <c r="D60" s="15" t="n"/>
      <c r="E60" s="28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45" t="n"/>
      <c r="R60" s="46" t="n"/>
      <c r="S60" s="46" t="n"/>
      <c r="T60" s="45" t="n"/>
      <c r="U60" s="15">
        <f>Q60+S60</f>
        <v/>
      </c>
      <c r="V60" s="15">
        <f>R60+T60</f>
        <v/>
      </c>
      <c r="W60" s="15" t="n"/>
      <c r="X60" s="142" t="n"/>
      <c r="Y60" s="146" t="n"/>
      <c r="Z60" s="146" t="n"/>
      <c r="AA60" s="146" t="n"/>
      <c r="AB60" s="15" t="n"/>
    </row>
    <row r="61" ht="32.25" customFormat="1" customHeight="1" s="5">
      <c r="A61" s="143">
        <f>COUNT(A51:A60)</f>
        <v/>
      </c>
      <c r="B61" s="143" t="inlineStr">
        <is>
          <t xml:space="preserve">SUBTOTAL DE HORAS </t>
        </is>
      </c>
      <c r="C61" s="136" t="n"/>
      <c r="D61" s="135" t="n"/>
      <c r="E61" s="143">
        <f>SUM(E51:E60)</f>
        <v/>
      </c>
      <c r="F61" s="143" t="inlineStr">
        <is>
          <t>SUBTOTAL DE PARTICIPANTES</t>
        </is>
      </c>
      <c r="G61" s="136" t="n"/>
      <c r="H61" s="135" t="n"/>
      <c r="I61" s="143">
        <f>COUNTIF(I51:I60,"X")</f>
        <v/>
      </c>
      <c r="J61" s="143">
        <f>COUNTIF(J51:J60,"X")</f>
        <v/>
      </c>
      <c r="K61" s="143">
        <f>COUNTIF(K51:K60,"X")</f>
        <v/>
      </c>
      <c r="L61" s="143">
        <f>COUNTIF(L51:L60,"X")</f>
        <v/>
      </c>
      <c r="M61" s="143">
        <f>COUNTIF(M51:M60,"X")</f>
        <v/>
      </c>
      <c r="N61" s="143">
        <f>COUNTIF(N51:N60,"X")</f>
        <v/>
      </c>
      <c r="O61" s="143">
        <f>COUNTIF(O51:O60,"X")</f>
        <v/>
      </c>
      <c r="P61" s="143">
        <f>COUNTIF(P51:P60,"X")</f>
        <v/>
      </c>
      <c r="Q61" s="94">
        <f>SUM(Q51:Q60)</f>
        <v/>
      </c>
      <c r="R61" s="94">
        <f>SUM(R51:R60)</f>
        <v/>
      </c>
      <c r="S61" s="94">
        <f>SUM(S51:S60)</f>
        <v/>
      </c>
      <c r="T61" s="94">
        <f>SUM(T51:T60)</f>
        <v/>
      </c>
      <c r="U61" s="94">
        <f>SUM(U51:U60)</f>
        <v/>
      </c>
      <c r="V61" s="94">
        <f>SUM(V51:V60)</f>
        <v/>
      </c>
      <c r="W61" s="143" t="n"/>
      <c r="X61" s="136" t="n"/>
      <c r="Y61" s="136" t="n"/>
      <c r="Z61" s="136" t="n"/>
      <c r="AA61" s="136" t="n"/>
      <c r="AB61" s="135" t="n"/>
    </row>
    <row r="62" ht="30.75" customFormat="1" customHeight="1" s="5">
      <c r="A62" s="141" t="n"/>
      <c r="B62" s="138" t="n"/>
      <c r="C62" s="140" t="n"/>
      <c r="D62" s="139" t="n"/>
      <c r="E62" s="141" t="n"/>
      <c r="F62" s="138" t="n"/>
      <c r="G62" s="140" t="n"/>
      <c r="H62" s="139" t="n"/>
      <c r="I62" s="141" t="n"/>
      <c r="J62" s="141" t="n"/>
      <c r="K62" s="141" t="n"/>
      <c r="L62" s="141" t="n"/>
      <c r="M62" s="141" t="n"/>
      <c r="N62" s="141" t="n"/>
      <c r="O62" s="141" t="n"/>
      <c r="P62" s="141" t="n"/>
      <c r="Q62" s="143">
        <f>Q61+R61</f>
        <v/>
      </c>
      <c r="R62" s="133" t="n"/>
      <c r="S62" s="143">
        <f>S61+T61</f>
        <v/>
      </c>
      <c r="T62" s="133" t="n"/>
      <c r="U62" s="144">
        <f>U61+V61</f>
        <v/>
      </c>
      <c r="V62" s="133" t="n"/>
      <c r="W62" s="138" t="n"/>
      <c r="X62" s="140" t="n"/>
      <c r="Y62" s="140" t="n"/>
      <c r="Z62" s="140" t="n"/>
      <c r="AA62" s="140" t="n"/>
      <c r="AB62" s="139" t="n"/>
    </row>
    <row r="63" ht="34.5" customHeight="1" s="63">
      <c r="A63" s="111" t="inlineStr">
        <is>
          <t xml:space="preserve">SAN FRANCISCO EL ALTO 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34" t="n"/>
      <c r="X63" s="134" t="n"/>
      <c r="Y63" s="134" t="n"/>
      <c r="Z63" s="134" t="n"/>
      <c r="AA63" s="134" t="n"/>
      <c r="AB63" s="134" t="n"/>
    </row>
    <row r="64" ht="42" customHeight="1" s="63">
      <c r="A64" s="15" t="n"/>
      <c r="B64" s="79" t="n"/>
      <c r="C64" s="22" t="n"/>
      <c r="D64" s="15" t="n"/>
      <c r="E64" s="27" t="n"/>
      <c r="F64" s="29" t="n"/>
      <c r="G64" s="29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46" t="n"/>
      <c r="R64" s="46" t="n"/>
      <c r="S64" s="46" t="n"/>
      <c r="T64" s="46" t="n"/>
      <c r="U64" s="15">
        <f>Q64+S64</f>
        <v/>
      </c>
      <c r="V64" s="15">
        <f>R64+T64</f>
        <v/>
      </c>
      <c r="W64" s="29" t="n"/>
      <c r="X64" s="151" t="n"/>
      <c r="Y64" s="151" t="n"/>
      <c r="Z64" s="151" t="n"/>
      <c r="AA64" s="148" t="n"/>
      <c r="AB64" s="29" t="n"/>
    </row>
    <row r="65" ht="48" customFormat="1" customHeight="1" s="5">
      <c r="A65" s="15" t="n"/>
      <c r="B65" s="79" t="n"/>
      <c r="C65" s="22" t="n"/>
      <c r="D65" s="15" t="n"/>
      <c r="E65" s="27" t="n"/>
      <c r="F65" s="29" t="n"/>
      <c r="G65" s="29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46" t="n"/>
      <c r="R65" s="46" t="n"/>
      <c r="S65" s="46" t="n"/>
      <c r="T65" s="46" t="n"/>
      <c r="U65" s="15">
        <f>Q65+S65</f>
        <v/>
      </c>
      <c r="V65" s="15">
        <f>R65+T65</f>
        <v/>
      </c>
      <c r="W65" s="29" t="n"/>
      <c r="X65" s="151" t="n"/>
      <c r="Y65" s="151" t="n"/>
      <c r="Z65" s="151" t="n"/>
      <c r="AA65" s="148" t="n"/>
      <c r="AB65" s="29" t="n"/>
    </row>
    <row r="66" ht="39.75" customFormat="1" customHeight="1" s="5">
      <c r="A66" s="15" t="n"/>
      <c r="B66" s="79" t="n"/>
      <c r="C66" s="22" t="n"/>
      <c r="D66" s="15" t="n"/>
      <c r="E66" s="27" t="n"/>
      <c r="F66" s="29" t="n"/>
      <c r="G66" s="29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46" t="n"/>
      <c r="R66" s="46" t="n"/>
      <c r="S66" s="46" t="n"/>
      <c r="T66" s="46" t="n"/>
      <c r="U66" s="15">
        <f>Q66+S66</f>
        <v/>
      </c>
      <c r="V66" s="15">
        <f>R66+T66</f>
        <v/>
      </c>
      <c r="W66" s="29" t="n"/>
      <c r="X66" s="151" t="n"/>
      <c r="Y66" s="151" t="n"/>
      <c r="Z66" s="151" t="n"/>
      <c r="AA66" s="148" t="n"/>
      <c r="AB66" s="29" t="n"/>
    </row>
    <row r="67" ht="43.5" customFormat="1" customHeight="1" s="5">
      <c r="A67" s="15" t="n"/>
      <c r="B67" s="79" t="n"/>
      <c r="C67" s="22" t="n"/>
      <c r="D67" s="15" t="n"/>
      <c r="E67" s="27" t="n"/>
      <c r="F67" s="29" t="n"/>
      <c r="G67" s="29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46" t="n"/>
      <c r="R67" s="46" t="n"/>
      <c r="S67" s="46" t="n"/>
      <c r="T67" s="46" t="n"/>
      <c r="U67" s="15">
        <f>Q67+S67</f>
        <v/>
      </c>
      <c r="V67" s="15">
        <f>R67+T67</f>
        <v/>
      </c>
      <c r="W67" s="29" t="n"/>
      <c r="X67" s="151" t="n"/>
      <c r="Y67" s="151" t="n"/>
      <c r="Z67" s="151" t="n"/>
      <c r="AA67" s="148" t="n"/>
      <c r="AB67" s="29" t="n"/>
    </row>
    <row r="68" ht="38.25" customFormat="1" customHeight="1" s="5">
      <c r="A68" s="15" t="n"/>
      <c r="B68" s="79" t="n"/>
      <c r="C68" s="22" t="n"/>
      <c r="D68" s="15" t="n"/>
      <c r="E68" s="27" t="n"/>
      <c r="F68" s="29" t="n"/>
      <c r="G68" s="29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46" t="n"/>
      <c r="R68" s="46" t="n"/>
      <c r="S68" s="46" t="n"/>
      <c r="T68" s="46" t="n"/>
      <c r="U68" s="15">
        <f>Q68+S68</f>
        <v/>
      </c>
      <c r="V68" s="15">
        <f>R68+T68</f>
        <v/>
      </c>
      <c r="W68" s="29" t="n"/>
      <c r="X68" s="151" t="n"/>
      <c r="Y68" s="151" t="n"/>
      <c r="Z68" s="151" t="n"/>
      <c r="AA68" s="148" t="n"/>
      <c r="AB68" s="29" t="n"/>
    </row>
    <row r="69" ht="43.5" customFormat="1" customHeight="1" s="5">
      <c r="A69" s="15" t="n"/>
      <c r="B69" s="79" t="n"/>
      <c r="C69" s="22" t="n"/>
      <c r="D69" s="15" t="n"/>
      <c r="E69" s="27" t="n"/>
      <c r="F69" s="29" t="n"/>
      <c r="G69" s="29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46" t="n"/>
      <c r="R69" s="46" t="n"/>
      <c r="S69" s="46" t="n"/>
      <c r="T69" s="46" t="n"/>
      <c r="U69" s="15">
        <f>Q69+S69</f>
        <v/>
      </c>
      <c r="V69" s="15">
        <f>R69+T69</f>
        <v/>
      </c>
      <c r="W69" s="29" t="n"/>
      <c r="X69" s="151" t="n"/>
      <c r="Y69" s="151" t="n"/>
      <c r="Z69" s="151" t="n"/>
      <c r="AA69" s="148" t="n"/>
      <c r="AB69" s="29" t="n"/>
    </row>
    <row r="70" ht="44.25" customFormat="1" customHeight="1" s="5">
      <c r="A70" s="15" t="n"/>
      <c r="B70" s="79" t="n"/>
      <c r="C70" s="22" t="n"/>
      <c r="D70" s="15" t="n"/>
      <c r="E70" s="27" t="n"/>
      <c r="F70" s="29" t="n"/>
      <c r="G70" s="29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46" t="n"/>
      <c r="R70" s="46" t="n"/>
      <c r="S70" s="46" t="n"/>
      <c r="T70" s="46" t="n"/>
      <c r="U70" s="15">
        <f>Q70+S70</f>
        <v/>
      </c>
      <c r="V70" s="15">
        <f>R70+T70</f>
        <v/>
      </c>
      <c r="W70" s="29" t="n"/>
      <c r="X70" s="151" t="n"/>
      <c r="Y70" s="151" t="n"/>
      <c r="Z70" s="151" t="n"/>
      <c r="AA70" s="148" t="n"/>
      <c r="AB70" s="29" t="n"/>
    </row>
    <row r="71" ht="36.75" customHeight="1" s="63">
      <c r="A71" s="15" t="n"/>
      <c r="B71" s="79" t="n"/>
      <c r="C71" s="22" t="n"/>
      <c r="D71" s="15" t="n"/>
      <c r="E71" s="27" t="n"/>
      <c r="F71" s="29" t="n"/>
      <c r="G71" s="29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46" t="n"/>
      <c r="R71" s="46" t="n"/>
      <c r="S71" s="46" t="n"/>
      <c r="T71" s="46" t="n"/>
      <c r="U71" s="15">
        <f>Q71+S71</f>
        <v/>
      </c>
      <c r="V71" s="15">
        <f>R71+T71</f>
        <v/>
      </c>
      <c r="W71" s="29" t="n"/>
      <c r="X71" s="151" t="n"/>
      <c r="Y71" s="151" t="n"/>
      <c r="Z71" s="151" t="n"/>
      <c r="AA71" s="148" t="n"/>
      <c r="AB71" s="29" t="n"/>
    </row>
    <row r="72" ht="45.75" customHeight="1" s="63">
      <c r="A72" s="15" t="n"/>
      <c r="B72" s="79" t="n"/>
      <c r="C72" s="22" t="n"/>
      <c r="D72" s="15" t="n"/>
      <c r="E72" s="27" t="n"/>
      <c r="F72" s="29" t="n"/>
      <c r="G72" s="29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46" t="n"/>
      <c r="R72" s="46" t="n"/>
      <c r="S72" s="46" t="n"/>
      <c r="T72" s="46" t="n"/>
      <c r="U72" s="15">
        <f>Q72+S72</f>
        <v/>
      </c>
      <c r="V72" s="15">
        <f>R72+T72</f>
        <v/>
      </c>
      <c r="W72" s="29" t="n"/>
      <c r="X72" s="151" t="n"/>
      <c r="Y72" s="151" t="n"/>
      <c r="Z72" s="151" t="n"/>
      <c r="AA72" s="148" t="n"/>
      <c r="AB72" s="29" t="n"/>
    </row>
    <row r="73" ht="43.5" customHeight="1" s="63">
      <c r="A73" s="15" t="n"/>
      <c r="B73" s="79" t="n"/>
      <c r="C73" s="22" t="n"/>
      <c r="D73" s="15" t="n"/>
      <c r="E73" s="27" t="n"/>
      <c r="F73" s="29" t="n"/>
      <c r="G73" s="29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46" t="n"/>
      <c r="R73" s="46" t="n"/>
      <c r="S73" s="46" t="n"/>
      <c r="T73" s="46" t="n"/>
      <c r="U73" s="15">
        <f>Q73+S73</f>
        <v/>
      </c>
      <c r="V73" s="15">
        <f>R73+T73</f>
        <v/>
      </c>
      <c r="W73" s="29" t="n"/>
      <c r="X73" s="151" t="n"/>
      <c r="Y73" s="151" t="n"/>
      <c r="Z73" s="151" t="n"/>
      <c r="AA73" s="148" t="n"/>
      <c r="AB73" s="29" t="n"/>
    </row>
    <row r="74" ht="39.75" customFormat="1" customHeight="1" s="5">
      <c r="A74" s="143">
        <f>COUNT(A64:A73)</f>
        <v/>
      </c>
      <c r="B74" s="143" t="inlineStr">
        <is>
          <t xml:space="preserve">SUBTOTAL DE HORAS </t>
        </is>
      </c>
      <c r="C74" s="136" t="n"/>
      <c r="D74" s="135" t="n"/>
      <c r="E74" s="143">
        <f>SUM(E64:E73)</f>
        <v/>
      </c>
      <c r="F74" s="143" t="inlineStr">
        <is>
          <t>SUBTOTAL DE PARTICIPANTES</t>
        </is>
      </c>
      <c r="G74" s="136" t="n"/>
      <c r="H74" s="135" t="n"/>
      <c r="I74" s="143">
        <f>COUNTIF(I64:I73,"X")</f>
        <v/>
      </c>
      <c r="J74" s="143">
        <f>COUNTIF(J64:J73,"X")</f>
        <v/>
      </c>
      <c r="K74" s="143">
        <f>COUNTIF(K64:K73,"X")</f>
        <v/>
      </c>
      <c r="L74" s="143">
        <f>COUNTIF(L64:L73,"X")</f>
        <v/>
      </c>
      <c r="M74" s="143">
        <f>COUNTIF(M64:M73,"X")</f>
        <v/>
      </c>
      <c r="N74" s="143">
        <f>COUNTIF(N64:N73,"X")</f>
        <v/>
      </c>
      <c r="O74" s="143">
        <f>COUNTIF(O64:O73,"X")</f>
        <v/>
      </c>
      <c r="P74" s="143">
        <f>COUNTIF(P64:P73,"X")</f>
        <v/>
      </c>
      <c r="Q74" s="94">
        <f>SUM(Q64:Q73)</f>
        <v/>
      </c>
      <c r="R74" s="94">
        <f>SUM(R64:R73)</f>
        <v/>
      </c>
      <c r="S74" s="94">
        <f>SUM(S64:S73)</f>
        <v/>
      </c>
      <c r="T74" s="94">
        <f>SUM(T64:T73)</f>
        <v/>
      </c>
      <c r="U74" s="94">
        <f>SUM(U64:U73)</f>
        <v/>
      </c>
      <c r="V74" s="94">
        <f>SUM(V64:V73)</f>
        <v/>
      </c>
      <c r="W74" s="143" t="n"/>
      <c r="X74" s="136" t="n"/>
      <c r="Y74" s="136" t="n"/>
      <c r="Z74" s="136" t="n"/>
      <c r="AA74" s="136" t="n"/>
      <c r="AB74" s="135" t="n"/>
    </row>
    <row r="75" ht="33" customFormat="1" customHeight="1" s="5">
      <c r="A75" s="141" t="n"/>
      <c r="B75" s="138" t="n"/>
      <c r="C75" s="140" t="n"/>
      <c r="D75" s="139" t="n"/>
      <c r="E75" s="141" t="n"/>
      <c r="F75" s="138" t="n"/>
      <c r="G75" s="140" t="n"/>
      <c r="H75" s="139" t="n"/>
      <c r="I75" s="141" t="n"/>
      <c r="J75" s="141" t="n"/>
      <c r="K75" s="141" t="n"/>
      <c r="L75" s="141" t="n"/>
      <c r="M75" s="141" t="n"/>
      <c r="N75" s="141" t="n"/>
      <c r="O75" s="141" t="n"/>
      <c r="P75" s="141" t="n"/>
      <c r="Q75" s="143">
        <f>Q74+R74</f>
        <v/>
      </c>
      <c r="R75" s="133" t="n"/>
      <c r="S75" s="143">
        <f>S74+T74</f>
        <v/>
      </c>
      <c r="T75" s="133" t="n"/>
      <c r="U75" s="144">
        <f>U74+V74</f>
        <v/>
      </c>
      <c r="V75" s="133" t="n"/>
      <c r="W75" s="138" t="n"/>
      <c r="X75" s="140" t="n"/>
      <c r="Y75" s="140" t="n"/>
      <c r="Z75" s="140" t="n"/>
      <c r="AA75" s="140" t="n"/>
      <c r="AB75" s="139" t="n"/>
    </row>
    <row r="76" ht="38.25" customHeight="1" s="63">
      <c r="A76" s="111" t="inlineStr">
        <is>
          <t xml:space="preserve">SANTA LUCÍA LA REFORMA </t>
        </is>
      </c>
      <c r="B76" s="134" t="n"/>
      <c r="C76" s="134" t="n"/>
      <c r="D76" s="134" t="n"/>
      <c r="E76" s="134" t="n"/>
      <c r="F76" s="134" t="n"/>
      <c r="G76" s="134" t="n"/>
      <c r="H76" s="134" t="n"/>
      <c r="I76" s="134" t="n"/>
      <c r="J76" s="134" t="n"/>
      <c r="K76" s="134" t="n"/>
      <c r="L76" s="134" t="n"/>
      <c r="M76" s="134" t="n"/>
      <c r="N76" s="134" t="n"/>
      <c r="O76" s="134" t="n"/>
      <c r="P76" s="134" t="n"/>
      <c r="Q76" s="134" t="n"/>
      <c r="R76" s="134" t="n"/>
      <c r="S76" s="134" t="n"/>
      <c r="T76" s="134" t="n"/>
      <c r="U76" s="134" t="n"/>
      <c r="V76" s="134" t="n"/>
      <c r="W76" s="134" t="n"/>
      <c r="X76" s="134" t="n"/>
      <c r="Y76" s="134" t="n"/>
      <c r="Z76" s="134" t="n"/>
      <c r="AA76" s="134" t="n"/>
      <c r="AB76" s="134" t="n"/>
    </row>
    <row r="77" ht="48" customHeight="1" s="63">
      <c r="A77" s="45" t="n"/>
      <c r="B77" s="80" t="n"/>
      <c r="C77" s="47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5" t="n"/>
      <c r="R77" s="45" t="n"/>
      <c r="S77" s="45" t="n"/>
      <c r="T77" s="45" t="n"/>
      <c r="U77" s="15">
        <f>Q77+S77</f>
        <v/>
      </c>
      <c r="V77" s="15">
        <f>R77+T77</f>
        <v/>
      </c>
      <c r="W77" s="45" t="n"/>
      <c r="X77" s="45" t="n"/>
      <c r="Y77" s="45" t="n"/>
      <c r="Z77" s="45" t="n"/>
      <c r="AA77" s="48" t="n"/>
      <c r="AB77" s="49" t="n"/>
    </row>
    <row r="78" ht="42" customFormat="1" customHeight="1" s="5">
      <c r="A78" s="45" t="n"/>
      <c r="B78" s="80" t="n"/>
      <c r="C78" s="47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5" t="n"/>
      <c r="R78" s="45" t="n"/>
      <c r="S78" s="45" t="n"/>
      <c r="T78" s="45" t="n"/>
      <c r="U78" s="15">
        <f>Q78+S78</f>
        <v/>
      </c>
      <c r="V78" s="15">
        <f>R78+T78</f>
        <v/>
      </c>
      <c r="W78" s="45" t="n"/>
      <c r="X78" s="45" t="n"/>
      <c r="Y78" s="45" t="n"/>
      <c r="Z78" s="45" t="n"/>
      <c r="AA78" s="48" t="n"/>
      <c r="AB78" s="49" t="n"/>
    </row>
    <row r="79" ht="36" customFormat="1" customHeight="1" s="5">
      <c r="A79" s="45" t="n"/>
      <c r="B79" s="80" t="n"/>
      <c r="C79" s="47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5" t="n"/>
      <c r="R79" s="45" t="n"/>
      <c r="S79" s="45" t="n"/>
      <c r="T79" s="45" t="n"/>
      <c r="U79" s="15">
        <f>Q79+S79</f>
        <v/>
      </c>
      <c r="V79" s="15">
        <f>R79+T79</f>
        <v/>
      </c>
      <c r="W79" s="45" t="n"/>
      <c r="X79" s="45" t="n"/>
      <c r="Y79" s="45" t="n"/>
      <c r="Z79" s="45" t="n"/>
      <c r="AA79" s="48" t="n"/>
      <c r="AB79" s="49" t="n"/>
    </row>
    <row r="80" ht="36.75" customFormat="1" customHeight="1" s="5">
      <c r="A80" s="45" t="n"/>
      <c r="B80" s="80" t="n"/>
      <c r="C80" s="47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5" t="n"/>
      <c r="R80" s="45" t="n"/>
      <c r="S80" s="45" t="n"/>
      <c r="T80" s="45" t="n"/>
      <c r="U80" s="15">
        <f>Q80+S80</f>
        <v/>
      </c>
      <c r="V80" s="15">
        <f>R80+T80</f>
        <v/>
      </c>
      <c r="W80" s="45" t="n"/>
      <c r="X80" s="45" t="n"/>
      <c r="Y80" s="45" t="n"/>
      <c r="Z80" s="45" t="n"/>
      <c r="AA80" s="48" t="n"/>
      <c r="AB80" s="49" t="n"/>
    </row>
    <row r="81" ht="36" customFormat="1" customHeight="1" s="5">
      <c r="A81" s="45" t="n"/>
      <c r="B81" s="80" t="n"/>
      <c r="C81" s="47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5" t="n"/>
      <c r="R81" s="45" t="n"/>
      <c r="S81" s="45" t="n"/>
      <c r="T81" s="45" t="n"/>
      <c r="U81" s="15">
        <f>Q81+S81</f>
        <v/>
      </c>
      <c r="V81" s="15">
        <f>R81+T81</f>
        <v/>
      </c>
      <c r="W81" s="45" t="n"/>
      <c r="X81" s="45" t="n"/>
      <c r="Y81" s="45" t="n"/>
      <c r="Z81" s="45" t="n"/>
      <c r="AA81" s="48" t="n"/>
      <c r="AB81" s="49" t="n"/>
    </row>
    <row r="82" ht="34.5" customHeight="1" s="63">
      <c r="A82" s="45" t="n"/>
      <c r="B82" s="80" t="n"/>
      <c r="C82" s="47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5" t="n"/>
      <c r="R82" s="45" t="n"/>
      <c r="S82" s="45" t="n"/>
      <c r="T82" s="45" t="n"/>
      <c r="U82" s="15">
        <f>Q82+S82</f>
        <v/>
      </c>
      <c r="V82" s="15">
        <f>R82+T82</f>
        <v/>
      </c>
      <c r="W82" s="45" t="n"/>
      <c r="X82" s="45" t="n"/>
      <c r="Y82" s="45" t="n"/>
      <c r="Z82" s="45" t="n"/>
      <c r="AA82" s="48" t="n"/>
      <c r="AB82" s="49" t="n"/>
    </row>
    <row r="83" ht="40.5" customHeight="1" s="63">
      <c r="A83" s="45" t="n"/>
      <c r="B83" s="80" t="n"/>
      <c r="C83" s="47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5" t="n"/>
      <c r="R83" s="45" t="n"/>
      <c r="S83" s="45" t="n"/>
      <c r="T83" s="45" t="n"/>
      <c r="U83" s="15">
        <f>Q83+S83</f>
        <v/>
      </c>
      <c r="V83" s="15">
        <f>R83+T83</f>
        <v/>
      </c>
      <c r="W83" s="45" t="n"/>
      <c r="X83" s="45" t="n"/>
      <c r="Y83" s="45" t="n"/>
      <c r="Z83" s="45" t="n"/>
      <c r="AA83" s="48" t="n"/>
      <c r="AB83" s="49" t="n"/>
    </row>
    <row r="84" ht="34.5" customHeight="1" s="63">
      <c r="A84" s="45" t="n"/>
      <c r="B84" s="80" t="n"/>
      <c r="C84" s="47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5" t="n"/>
      <c r="R84" s="45" t="n"/>
      <c r="S84" s="45" t="n"/>
      <c r="T84" s="45" t="n"/>
      <c r="U84" s="15">
        <f>Q84+S84</f>
        <v/>
      </c>
      <c r="V84" s="15">
        <f>R84+T84</f>
        <v/>
      </c>
      <c r="W84" s="45" t="n"/>
      <c r="X84" s="45" t="n"/>
      <c r="Y84" s="45" t="n"/>
      <c r="Z84" s="45" t="n"/>
      <c r="AA84" s="48" t="n"/>
      <c r="AB84" s="49" t="n"/>
    </row>
    <row r="85" ht="39.75" customHeight="1" s="63">
      <c r="A85" s="45" t="n"/>
      <c r="B85" s="80" t="n"/>
      <c r="C85" s="47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5" t="n"/>
      <c r="R85" s="45" t="n"/>
      <c r="S85" s="45" t="n"/>
      <c r="T85" s="45" t="n"/>
      <c r="U85" s="15">
        <f>Q85+S85</f>
        <v/>
      </c>
      <c r="V85" s="15">
        <f>R85+T85</f>
        <v/>
      </c>
      <c r="W85" s="45" t="n"/>
      <c r="X85" s="45" t="n"/>
      <c r="Y85" s="45" t="n"/>
      <c r="Z85" s="45" t="n"/>
      <c r="AA85" s="48" t="n"/>
      <c r="AB85" s="49" t="n"/>
    </row>
    <row r="86" ht="36.75" customHeight="1" s="63">
      <c r="A86" s="45" t="n"/>
      <c r="B86" s="80" t="n"/>
      <c r="C86" s="47" t="n"/>
      <c r="D86" s="46" t="n"/>
      <c r="E86" s="46" t="n"/>
      <c r="F86" s="46" t="n"/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5" t="n"/>
      <c r="R86" s="45" t="n"/>
      <c r="S86" s="45" t="n"/>
      <c r="T86" s="45" t="n"/>
      <c r="U86" s="15">
        <f>Q86+S86</f>
        <v/>
      </c>
      <c r="V86" s="15">
        <f>R86+T86</f>
        <v/>
      </c>
      <c r="W86" s="45" t="n"/>
      <c r="X86" s="45" t="n"/>
      <c r="Y86" s="45" t="n"/>
      <c r="Z86" s="45" t="n"/>
      <c r="AA86" s="48" t="n"/>
      <c r="AB86" s="49" t="n"/>
    </row>
    <row r="87" ht="32.25" customFormat="1" customHeight="1" s="5">
      <c r="A87" s="143">
        <f>COUNT(A77:A86)</f>
        <v/>
      </c>
      <c r="B87" s="143" t="inlineStr">
        <is>
          <t xml:space="preserve">SUBTOTAL DE HORAS </t>
        </is>
      </c>
      <c r="C87" s="136" t="n"/>
      <c r="D87" s="135" t="n"/>
      <c r="E87" s="143">
        <f>SUM(E77:E86)</f>
        <v/>
      </c>
      <c r="F87" s="143" t="inlineStr">
        <is>
          <t>SUBTOTAL DE PARTICIPANTES</t>
        </is>
      </c>
      <c r="G87" s="136" t="n"/>
      <c r="H87" s="135" t="n"/>
      <c r="I87" s="143">
        <f>COUNTIF(I77:I86,"X")</f>
        <v/>
      </c>
      <c r="J87" s="143">
        <f>COUNTIF(J77:J86,"X")</f>
        <v/>
      </c>
      <c r="K87" s="143">
        <f>COUNTIF(K77:K86,"X")</f>
        <v/>
      </c>
      <c r="L87" s="143">
        <f>COUNTIF(L77:L86,"X")</f>
        <v/>
      </c>
      <c r="M87" s="143">
        <f>COUNTIF(M77:M86,"X")</f>
        <v/>
      </c>
      <c r="N87" s="143">
        <f>COUNTIF(N77:N86,"X")</f>
        <v/>
      </c>
      <c r="O87" s="143">
        <f>COUNTIF(O77:O86,"X")</f>
        <v/>
      </c>
      <c r="P87" s="143">
        <f>COUNTIF(P77:P86,"X")</f>
        <v/>
      </c>
      <c r="Q87" s="94">
        <f>SUM(Q77:Q86)</f>
        <v/>
      </c>
      <c r="R87" s="94">
        <f>SUM(R77:R86)</f>
        <v/>
      </c>
      <c r="S87" s="94">
        <f>SUM(S77:S86)</f>
        <v/>
      </c>
      <c r="T87" s="94">
        <f>SUM(T77:T86)</f>
        <v/>
      </c>
      <c r="U87" s="94">
        <f>SUM(U77:U86)</f>
        <v/>
      </c>
      <c r="V87" s="94">
        <f>SUM(V77:V86)</f>
        <v/>
      </c>
      <c r="W87" s="143" t="n"/>
      <c r="X87" s="136" t="n"/>
      <c r="Y87" s="136" t="n"/>
      <c r="Z87" s="136" t="n"/>
      <c r="AA87" s="136" t="n"/>
      <c r="AB87" s="135" t="n"/>
    </row>
    <row r="88" ht="36" customFormat="1" customHeight="1" s="5">
      <c r="A88" s="141" t="n"/>
      <c r="B88" s="138" t="n"/>
      <c r="C88" s="140" t="n"/>
      <c r="D88" s="139" t="n"/>
      <c r="E88" s="141" t="n"/>
      <c r="F88" s="138" t="n"/>
      <c r="G88" s="140" t="n"/>
      <c r="H88" s="139" t="n"/>
      <c r="I88" s="141" t="n"/>
      <c r="J88" s="141" t="n"/>
      <c r="K88" s="141" t="n"/>
      <c r="L88" s="141" t="n"/>
      <c r="M88" s="141" t="n"/>
      <c r="N88" s="141" t="n"/>
      <c r="O88" s="141" t="n"/>
      <c r="P88" s="141" t="n"/>
      <c r="Q88" s="143">
        <f>Q87+R87</f>
        <v/>
      </c>
      <c r="R88" s="133" t="n"/>
      <c r="S88" s="143">
        <f>S87+T87</f>
        <v/>
      </c>
      <c r="T88" s="133" t="n"/>
      <c r="U88" s="144">
        <f>U87+V87</f>
        <v/>
      </c>
      <c r="V88" s="133" t="n"/>
      <c r="W88" s="138" t="n"/>
      <c r="X88" s="140" t="n"/>
      <c r="Y88" s="140" t="n"/>
      <c r="Z88" s="140" t="n"/>
      <c r="AA88" s="140" t="n"/>
      <c r="AB88" s="139" t="n"/>
    </row>
    <row r="89" ht="30.75" customHeight="1" s="63">
      <c r="A89" s="111" t="inlineStr">
        <is>
          <t xml:space="preserve">SANTA MARÍA CHIQUIMULA </t>
        </is>
      </c>
      <c r="B89" s="134" t="n"/>
      <c r="C89" s="134" t="n"/>
      <c r="D89" s="134" t="n"/>
      <c r="E89" s="134" t="n"/>
      <c r="F89" s="134" t="n"/>
      <c r="G89" s="134" t="n"/>
      <c r="H89" s="134" t="n"/>
      <c r="I89" s="134" t="n"/>
      <c r="J89" s="134" t="n"/>
      <c r="K89" s="134" t="n"/>
      <c r="L89" s="134" t="n"/>
      <c r="M89" s="134" t="n"/>
      <c r="N89" s="134" t="n"/>
      <c r="O89" s="134" t="n"/>
      <c r="P89" s="134" t="n"/>
      <c r="Q89" s="134" t="n"/>
      <c r="R89" s="134" t="n"/>
      <c r="S89" s="134" t="n"/>
      <c r="T89" s="134" t="n"/>
      <c r="U89" s="134" t="n"/>
      <c r="V89" s="134" t="n"/>
      <c r="W89" s="134" t="n"/>
      <c r="X89" s="134" t="n"/>
      <c r="Y89" s="134" t="n"/>
      <c r="Z89" s="134" t="n"/>
      <c r="AA89" s="134" t="n"/>
      <c r="AB89" s="134" t="n"/>
    </row>
    <row r="90" ht="40.5" customHeight="1" s="63">
      <c r="A90" s="50" t="n"/>
      <c r="B90" s="79" t="n"/>
      <c r="C90" s="26" t="n"/>
      <c r="D90" s="15" t="n"/>
      <c r="E90" s="29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58" t="n"/>
      <c r="R90" s="57" t="n"/>
      <c r="S90" s="57" t="n"/>
      <c r="T90" s="58" t="n"/>
      <c r="U90" s="15">
        <f>Q90+S90</f>
        <v/>
      </c>
      <c r="V90" s="15">
        <f>R90+T90</f>
        <v/>
      </c>
      <c r="W90" s="50" t="n"/>
      <c r="X90" s="151" t="n"/>
      <c r="Y90" s="151" t="n"/>
      <c r="Z90" s="151" t="n"/>
      <c r="AA90" s="151" t="n"/>
      <c r="AB90" s="29" t="n"/>
    </row>
    <row r="91" ht="36.75" customHeight="1" s="63">
      <c r="A91" s="27" t="n"/>
      <c r="B91" s="79" t="n"/>
      <c r="C91" s="26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45" t="n"/>
      <c r="R91" s="46" t="n"/>
      <c r="S91" s="46" t="n"/>
      <c r="T91" s="45" t="n"/>
      <c r="U91" s="15">
        <f>Q91+S91</f>
        <v/>
      </c>
      <c r="V91" s="15">
        <f>R91+T91</f>
        <v/>
      </c>
      <c r="W91" s="50" t="n"/>
      <c r="X91" s="151" t="n"/>
      <c r="Y91" s="151" t="n"/>
      <c r="Z91" s="151" t="n"/>
      <c r="AA91" s="151" t="n"/>
      <c r="AB91" s="29" t="n"/>
    </row>
    <row r="92" ht="38.25" customHeight="1" s="63">
      <c r="A92" s="50" t="n"/>
      <c r="B92" s="79" t="n"/>
      <c r="C92" s="26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45" t="n"/>
      <c r="R92" s="46" t="n"/>
      <c r="S92" s="46" t="n"/>
      <c r="T92" s="45" t="n"/>
      <c r="U92" s="15">
        <f>Q92+S92</f>
        <v/>
      </c>
      <c r="V92" s="15">
        <f>R92+T92</f>
        <v/>
      </c>
      <c r="W92" s="50" t="n"/>
      <c r="X92" s="151" t="n"/>
      <c r="Y92" s="151" t="n"/>
      <c r="Z92" s="151" t="n"/>
      <c r="AA92" s="151" t="n"/>
      <c r="AB92" s="29" t="n"/>
    </row>
    <row r="93" ht="34.5" customHeight="1" s="63">
      <c r="A93" s="50" t="n"/>
      <c r="B93" s="79" t="n"/>
      <c r="C93" s="26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45" t="n"/>
      <c r="R93" s="46" t="n"/>
      <c r="S93" s="46" t="n"/>
      <c r="T93" s="45" t="n"/>
      <c r="U93" s="15">
        <f>Q93+S93</f>
        <v/>
      </c>
      <c r="V93" s="15">
        <f>R93+T93</f>
        <v/>
      </c>
      <c r="W93" s="50" t="n"/>
      <c r="X93" s="151" t="n"/>
      <c r="Y93" s="151" t="n"/>
      <c r="Z93" s="151" t="n"/>
      <c r="AA93" s="151" t="n"/>
      <c r="AB93" s="29" t="n"/>
    </row>
    <row r="94" ht="34.5" customHeight="1" s="63">
      <c r="A94" s="50" t="n"/>
      <c r="B94" s="79" t="n"/>
      <c r="C94" s="26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45" t="n"/>
      <c r="R94" s="46" t="n"/>
      <c r="S94" s="46" t="n"/>
      <c r="T94" s="45" t="n"/>
      <c r="U94" s="15">
        <f>Q94+S94</f>
        <v/>
      </c>
      <c r="V94" s="15">
        <f>R94+T94</f>
        <v/>
      </c>
      <c r="W94" s="50" t="n"/>
      <c r="X94" s="151" t="n"/>
      <c r="Y94" s="151" t="n"/>
      <c r="Z94" s="151" t="n"/>
      <c r="AA94" s="151" t="n"/>
      <c r="AB94" s="29" t="n"/>
    </row>
    <row r="95" ht="38.25" customHeight="1" s="63">
      <c r="A95" s="50" t="n"/>
      <c r="B95" s="79" t="n"/>
      <c r="C95" s="26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45" t="n"/>
      <c r="R95" s="46" t="n"/>
      <c r="S95" s="46" t="n"/>
      <c r="T95" s="45" t="n"/>
      <c r="U95" s="15">
        <f>Q95+S95</f>
        <v/>
      </c>
      <c r="V95" s="15">
        <f>R95+T95</f>
        <v/>
      </c>
      <c r="W95" s="50" t="n"/>
      <c r="X95" s="151" t="n"/>
      <c r="Y95" s="151" t="n"/>
      <c r="Z95" s="151" t="n"/>
      <c r="AA95" s="151" t="n"/>
      <c r="AB95" s="29" t="n"/>
    </row>
    <row r="96" ht="33" customFormat="1" customHeight="1" s="5">
      <c r="A96" s="50" t="n"/>
      <c r="B96" s="79" t="n"/>
      <c r="C96" s="26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45" t="n"/>
      <c r="R96" s="46" t="n"/>
      <c r="S96" s="46" t="n"/>
      <c r="T96" s="45" t="n"/>
      <c r="U96" s="15">
        <f>Q96+S96</f>
        <v/>
      </c>
      <c r="V96" s="15">
        <f>R96+T96</f>
        <v/>
      </c>
      <c r="W96" s="50" t="n"/>
      <c r="X96" s="151" t="n"/>
      <c r="Y96" s="151" t="n"/>
      <c r="Z96" s="151" t="n"/>
      <c r="AA96" s="151" t="n"/>
      <c r="AB96" s="29" t="n"/>
    </row>
    <row r="97" ht="34.5" customFormat="1" customHeight="1" s="5">
      <c r="A97" s="50" t="n"/>
      <c r="B97" s="79" t="n"/>
      <c r="C97" s="26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45" t="n"/>
      <c r="R97" s="46" t="n"/>
      <c r="S97" s="46" t="n"/>
      <c r="T97" s="45" t="n"/>
      <c r="U97" s="15">
        <f>Q97+S97</f>
        <v/>
      </c>
      <c r="V97" s="15">
        <f>R97+T97</f>
        <v/>
      </c>
      <c r="W97" s="50" t="n"/>
      <c r="X97" s="151" t="n"/>
      <c r="Y97" s="151" t="n"/>
      <c r="Z97" s="151" t="n"/>
      <c r="AA97" s="151" t="n"/>
      <c r="AB97" s="29" t="n"/>
    </row>
    <row r="98" ht="36.75" customHeight="1" s="63">
      <c r="A98" s="50" t="n"/>
      <c r="B98" s="79" t="n"/>
      <c r="C98" s="26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45" t="n"/>
      <c r="R98" s="46" t="n"/>
      <c r="S98" s="46" t="n"/>
      <c r="T98" s="45" t="n"/>
      <c r="U98" s="15">
        <f>Q98+S98</f>
        <v/>
      </c>
      <c r="V98" s="15">
        <f>R98+T98</f>
        <v/>
      </c>
      <c r="W98" s="50" t="n"/>
      <c r="X98" s="151" t="n"/>
      <c r="Y98" s="151" t="n"/>
      <c r="Z98" s="151" t="n"/>
      <c r="AA98" s="151" t="n"/>
      <c r="AB98" s="29" t="n"/>
    </row>
    <row r="99" ht="38.25" customHeight="1" s="63">
      <c r="A99" s="50" t="n"/>
      <c r="B99" s="79" t="n"/>
      <c r="C99" s="26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45" t="n"/>
      <c r="R99" s="46" t="n"/>
      <c r="S99" s="46" t="n"/>
      <c r="T99" s="45" t="n"/>
      <c r="U99" s="15">
        <f>Q99+S99</f>
        <v/>
      </c>
      <c r="V99" s="15">
        <f>R99+T99</f>
        <v/>
      </c>
      <c r="W99" s="50" t="n"/>
      <c r="X99" s="151" t="n"/>
      <c r="Y99" s="151" t="n"/>
      <c r="Z99" s="151" t="n"/>
      <c r="AA99" s="151" t="n"/>
      <c r="AB99" s="29" t="n"/>
    </row>
    <row r="100" ht="28.5" customFormat="1" customHeight="1" s="5">
      <c r="A100" s="143">
        <f>COUNT(A90:A99)</f>
        <v/>
      </c>
      <c r="B100" s="143" t="inlineStr">
        <is>
          <t xml:space="preserve">SUBTOTAL DE HORAS </t>
        </is>
      </c>
      <c r="C100" s="136" t="n"/>
      <c r="D100" s="135" t="n"/>
      <c r="E100" s="143">
        <f>SUM(E90:E99)</f>
        <v/>
      </c>
      <c r="F100" s="143" t="inlineStr">
        <is>
          <t>SUBTOTAL DE PARTICIPANTES</t>
        </is>
      </c>
      <c r="G100" s="136" t="n"/>
      <c r="H100" s="135" t="n"/>
      <c r="I100" s="143">
        <f>COUNTIF(I90:I99,"X")</f>
        <v/>
      </c>
      <c r="J100" s="143">
        <f>COUNTIF(J90:J99,"X")</f>
        <v/>
      </c>
      <c r="K100" s="143">
        <f>COUNTIF(K90:K99,"X")</f>
        <v/>
      </c>
      <c r="L100" s="143">
        <f>COUNTIF(L90:L99,"X")</f>
        <v/>
      </c>
      <c r="M100" s="143">
        <f>COUNTIF(M90:M99,"X")</f>
        <v/>
      </c>
      <c r="N100" s="143">
        <f>COUNTIF(N90:N99,"X")</f>
        <v/>
      </c>
      <c r="O100" s="143">
        <f>COUNTIF(O90:O99,"X")</f>
        <v/>
      </c>
      <c r="P100" s="143">
        <f>COUNTIF(P90:P99,"X")</f>
        <v/>
      </c>
      <c r="Q100" s="94">
        <f>SUM(Q90:Q99)</f>
        <v/>
      </c>
      <c r="R100" s="94">
        <f>SUM(R90:R99)</f>
        <v/>
      </c>
      <c r="S100" s="94">
        <f>SUM(S90:S99)</f>
        <v/>
      </c>
      <c r="T100" s="94">
        <f>SUM(T90:T99)</f>
        <v/>
      </c>
      <c r="U100" s="94">
        <f>SUM(U90:U99)</f>
        <v/>
      </c>
      <c r="V100" s="94">
        <f>SUM(V90:V99)</f>
        <v/>
      </c>
      <c r="W100" s="143" t="n"/>
      <c r="X100" s="136" t="n"/>
      <c r="Y100" s="136" t="n"/>
      <c r="Z100" s="136" t="n"/>
      <c r="AA100" s="136" t="n"/>
      <c r="AB100" s="135" t="n"/>
    </row>
    <row r="101" ht="33" customFormat="1" customHeight="1" s="5">
      <c r="A101" s="141" t="n"/>
      <c r="B101" s="138" t="n"/>
      <c r="C101" s="140" t="n"/>
      <c r="D101" s="139" t="n"/>
      <c r="E101" s="141" t="n"/>
      <c r="F101" s="138" t="n"/>
      <c r="G101" s="140" t="n"/>
      <c r="H101" s="139" t="n"/>
      <c r="I101" s="141" t="n"/>
      <c r="J101" s="141" t="n"/>
      <c r="K101" s="141" t="n"/>
      <c r="L101" s="141" t="n"/>
      <c r="M101" s="141" t="n"/>
      <c r="N101" s="141" t="n"/>
      <c r="O101" s="141" t="n"/>
      <c r="P101" s="141" t="n"/>
      <c r="Q101" s="143">
        <f>Q100+R100</f>
        <v/>
      </c>
      <c r="R101" s="133" t="n"/>
      <c r="S101" s="143">
        <f>S100+T100</f>
        <v/>
      </c>
      <c r="T101" s="133" t="n"/>
      <c r="U101" s="144">
        <f>U100+V100</f>
        <v/>
      </c>
      <c r="V101" s="133" t="n"/>
      <c r="W101" s="138" t="n"/>
      <c r="X101" s="140" t="n"/>
      <c r="Y101" s="140" t="n"/>
      <c r="Z101" s="140" t="n"/>
      <c r="AA101" s="140" t="n"/>
      <c r="AB101" s="139" t="n"/>
    </row>
    <row r="102" ht="32.25" customHeight="1" s="63">
      <c r="A102" s="111" t="inlineStr">
        <is>
          <t xml:space="preserve">TOTONICAPÁN </t>
        </is>
      </c>
      <c r="B102" s="134" t="n"/>
      <c r="C102" s="134" t="n"/>
      <c r="D102" s="134" t="n"/>
      <c r="E102" s="134" t="n"/>
      <c r="F102" s="134" t="n"/>
      <c r="G102" s="134" t="n"/>
      <c r="H102" s="134" t="n"/>
      <c r="I102" s="134" t="n"/>
      <c r="J102" s="134" t="n"/>
      <c r="K102" s="134" t="n"/>
      <c r="L102" s="134" t="n"/>
      <c r="M102" s="134" t="n"/>
      <c r="N102" s="134" t="n"/>
      <c r="O102" s="134" t="n"/>
      <c r="P102" s="134" t="n"/>
      <c r="Q102" s="134" t="n"/>
      <c r="R102" s="134" t="n"/>
      <c r="S102" s="134" t="n"/>
      <c r="T102" s="134" t="n"/>
      <c r="U102" s="134" t="n"/>
      <c r="V102" s="134" t="n"/>
      <c r="W102" s="134" t="n"/>
      <c r="X102" s="134" t="n"/>
      <c r="Y102" s="134" t="n"/>
      <c r="Z102" s="134" t="n"/>
      <c r="AA102" s="134" t="n"/>
      <c r="AB102" s="134" t="n"/>
    </row>
    <row r="103" ht="44.25" customHeight="1" s="63">
      <c r="A103" s="50" t="n"/>
      <c r="B103" s="79" t="n"/>
      <c r="C103" s="26" t="n"/>
      <c r="D103" s="15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58" t="n"/>
      <c r="R103" s="57" t="n"/>
      <c r="S103" s="57" t="n"/>
      <c r="T103" s="58" t="n"/>
      <c r="U103" s="15">
        <f>Q103+S103</f>
        <v/>
      </c>
      <c r="V103" s="15">
        <f>R103+T103</f>
        <v/>
      </c>
      <c r="W103" s="29" t="n"/>
      <c r="X103" s="151" t="n"/>
      <c r="Y103" s="151" t="n"/>
      <c r="Z103" s="151" t="n"/>
      <c r="AA103" s="151" t="n"/>
      <c r="AB103" s="29" t="n"/>
    </row>
    <row r="104" ht="42" customHeight="1" s="63">
      <c r="A104" s="50" t="n"/>
      <c r="B104" s="79" t="n"/>
      <c r="C104" s="26" t="n"/>
      <c r="D104" s="15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58" t="n"/>
      <c r="R104" s="57" t="n"/>
      <c r="S104" s="57" t="n"/>
      <c r="T104" s="58" t="n"/>
      <c r="U104" s="15">
        <f>Q104+S104</f>
        <v/>
      </c>
      <c r="V104" s="15">
        <f>R104+T104</f>
        <v/>
      </c>
      <c r="W104" s="29" t="n"/>
      <c r="X104" s="151" t="n"/>
      <c r="Y104" s="151" t="n"/>
      <c r="Z104" s="151" t="n"/>
      <c r="AA104" s="151" t="n"/>
      <c r="AB104" s="29" t="n"/>
    </row>
    <row r="105" ht="36" customHeight="1" s="63">
      <c r="A105" s="50" t="n"/>
      <c r="B105" s="79" t="n"/>
      <c r="C105" s="26" t="n"/>
      <c r="D105" s="15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58" t="n"/>
      <c r="R105" s="57" t="n"/>
      <c r="S105" s="57" t="n"/>
      <c r="T105" s="58" t="n"/>
      <c r="U105" s="15">
        <f>Q105+S105</f>
        <v/>
      </c>
      <c r="V105" s="15">
        <f>R105+T105</f>
        <v/>
      </c>
      <c r="W105" s="29" t="n"/>
      <c r="X105" s="151" t="n"/>
      <c r="Y105" s="151" t="n"/>
      <c r="Z105" s="151" t="n"/>
      <c r="AA105" s="151" t="n"/>
      <c r="AB105" s="29" t="n"/>
    </row>
    <row r="106" ht="36" customHeight="1" s="63">
      <c r="A106" s="50" t="n"/>
      <c r="B106" s="79" t="n"/>
      <c r="C106" s="26" t="n"/>
      <c r="D106" s="15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58" t="n"/>
      <c r="R106" s="57" t="n"/>
      <c r="S106" s="57" t="n"/>
      <c r="T106" s="58" t="n"/>
      <c r="U106" s="15">
        <f>Q106+S106</f>
        <v/>
      </c>
      <c r="V106" s="15">
        <f>R106+T106</f>
        <v/>
      </c>
      <c r="W106" s="50" t="n"/>
      <c r="X106" s="151" t="n"/>
      <c r="Y106" s="151" t="n"/>
      <c r="Z106" s="151" t="n"/>
      <c r="AA106" s="151" t="n"/>
      <c r="AB106" s="29" t="n"/>
    </row>
    <row r="107" ht="36" customHeight="1" s="63">
      <c r="A107" s="50" t="n"/>
      <c r="B107" s="79" t="n"/>
      <c r="C107" s="26" t="n"/>
      <c r="D107" s="15" t="n"/>
      <c r="E107" s="51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58" t="n"/>
      <c r="R107" s="57" t="n"/>
      <c r="S107" s="57" t="n"/>
      <c r="T107" s="58" t="n"/>
      <c r="U107" s="15">
        <f>Q107+S107</f>
        <v/>
      </c>
      <c r="V107" s="15">
        <f>R107+T107</f>
        <v/>
      </c>
      <c r="W107" s="50" t="n"/>
      <c r="X107" s="151" t="n"/>
      <c r="Y107" s="151" t="n"/>
      <c r="Z107" s="151" t="n"/>
      <c r="AA107" s="151" t="n"/>
      <c r="AB107" s="29" t="n"/>
    </row>
    <row r="108" ht="32.25" customHeight="1" s="63">
      <c r="A108" s="50" t="n"/>
      <c r="B108" s="79" t="n"/>
      <c r="C108" s="26" t="n"/>
      <c r="D108" s="15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58" t="n"/>
      <c r="R108" s="57" t="n"/>
      <c r="S108" s="57" t="n"/>
      <c r="T108" s="58" t="n"/>
      <c r="U108" s="15">
        <f>Q108+S108</f>
        <v/>
      </c>
      <c r="V108" s="15">
        <f>R108+T108</f>
        <v/>
      </c>
      <c r="W108" s="29" t="n"/>
      <c r="X108" s="151" t="n"/>
      <c r="Y108" s="151" t="n"/>
      <c r="Z108" s="151" t="n"/>
      <c r="AA108" s="151" t="n"/>
      <c r="AB108" s="29" t="n"/>
    </row>
    <row r="109" ht="36.75" customHeight="1" s="63">
      <c r="A109" s="50" t="n"/>
      <c r="B109" s="79" t="n"/>
      <c r="C109" s="33" t="n"/>
      <c r="D109" s="15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58" t="n"/>
      <c r="R109" s="57" t="n"/>
      <c r="S109" s="57" t="n"/>
      <c r="T109" s="58" t="n"/>
      <c r="U109" s="15">
        <f>Q109+S109</f>
        <v/>
      </c>
      <c r="V109" s="15">
        <f>R109+T109</f>
        <v/>
      </c>
      <c r="W109" s="50" t="n"/>
      <c r="X109" s="151" t="n"/>
      <c r="Y109" s="151" t="n"/>
      <c r="Z109" s="151" t="n"/>
      <c r="AA109" s="151" t="n"/>
      <c r="AB109" s="29" t="n"/>
    </row>
    <row r="110" ht="32.25" customHeight="1" s="63">
      <c r="A110" s="50" t="n"/>
      <c r="B110" s="79" t="n"/>
      <c r="C110" s="33" t="n"/>
      <c r="D110" s="15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58" t="n"/>
      <c r="R110" s="57" t="n"/>
      <c r="S110" s="57" t="n"/>
      <c r="T110" s="58" t="n"/>
      <c r="U110" s="15">
        <f>Q110+S110</f>
        <v/>
      </c>
      <c r="V110" s="15">
        <f>R110+T110</f>
        <v/>
      </c>
      <c r="W110" s="50" t="n"/>
      <c r="X110" s="151" t="n"/>
      <c r="Y110" s="151" t="n"/>
      <c r="Z110" s="151" t="n"/>
      <c r="AA110" s="151" t="n"/>
      <c r="AB110" s="29" t="n"/>
    </row>
    <row r="111" ht="36.75" customHeight="1" s="63">
      <c r="A111" s="50" t="n"/>
      <c r="B111" s="79" t="n"/>
      <c r="C111" s="33" t="n"/>
      <c r="D111" s="15" t="n"/>
      <c r="E111" s="51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58" t="n"/>
      <c r="R111" s="57" t="n"/>
      <c r="S111" s="57" t="n"/>
      <c r="T111" s="58" t="n"/>
      <c r="U111" s="15">
        <f>Q111+S111</f>
        <v/>
      </c>
      <c r="V111" s="15">
        <f>R111+T111</f>
        <v/>
      </c>
      <c r="W111" s="50" t="n"/>
      <c r="X111" s="151" t="n"/>
      <c r="Y111" s="151" t="n"/>
      <c r="Z111" s="151" t="n"/>
      <c r="AA111" s="151" t="n"/>
      <c r="AB111" s="29" t="n"/>
    </row>
    <row r="112" ht="33" customHeight="1" s="63">
      <c r="A112" s="50" t="n"/>
      <c r="B112" s="79" t="n"/>
      <c r="C112" s="33" t="n"/>
      <c r="D112" s="15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58" t="n"/>
      <c r="R112" s="57" t="n"/>
      <c r="S112" s="57" t="n"/>
      <c r="T112" s="58" t="n"/>
      <c r="U112" s="15">
        <f>Q112+S112</f>
        <v/>
      </c>
      <c r="V112" s="15">
        <f>R112+T112</f>
        <v/>
      </c>
      <c r="W112" s="50" t="n"/>
      <c r="X112" s="151" t="n"/>
      <c r="Y112" s="151" t="n"/>
      <c r="Z112" s="151" t="n"/>
      <c r="AA112" s="151" t="n"/>
      <c r="AB112" s="29" t="n"/>
    </row>
    <row r="113" ht="30.75" customFormat="1" customHeight="1" s="5">
      <c r="A113" s="143">
        <f>COUNT(A103:A112)</f>
        <v/>
      </c>
      <c r="B113" s="143" t="inlineStr">
        <is>
          <t xml:space="preserve">SUBTOTAL DE HORAS </t>
        </is>
      </c>
      <c r="C113" s="136" t="n"/>
      <c r="D113" s="135" t="n"/>
      <c r="E113" s="143">
        <f>SUM(E103:E112)</f>
        <v/>
      </c>
      <c r="F113" s="143" t="inlineStr">
        <is>
          <t>SUBTOTAL DE PARTICIPANTES</t>
        </is>
      </c>
      <c r="G113" s="136" t="n"/>
      <c r="H113" s="135" t="n"/>
      <c r="I113" s="143">
        <f>COUNTIF(I103:I112,"X")</f>
        <v/>
      </c>
      <c r="J113" s="143">
        <f>COUNTIF(J103:J112,"X")</f>
        <v/>
      </c>
      <c r="K113" s="143">
        <f>COUNTIF(K103:K112,"X")</f>
        <v/>
      </c>
      <c r="L113" s="143">
        <f>COUNTIF(L103:L112,"X")</f>
        <v/>
      </c>
      <c r="M113" s="143">
        <f>COUNTIF(M103:M112,"X")</f>
        <v/>
      </c>
      <c r="N113" s="143">
        <f>COUNTIF(N103:N112,"X")</f>
        <v/>
      </c>
      <c r="O113" s="143">
        <f>COUNTIF(O103:O112,"X")</f>
        <v/>
      </c>
      <c r="P113" s="143">
        <f>COUNTIF(P103:P112,"X")</f>
        <v/>
      </c>
      <c r="Q113" s="94">
        <f>SUM(Q103:Q112)</f>
        <v/>
      </c>
      <c r="R113" s="94">
        <f>SUM(R103:R112)</f>
        <v/>
      </c>
      <c r="S113" s="94">
        <f>SUM(S103:S112)</f>
        <v/>
      </c>
      <c r="T113" s="94">
        <f>SUM(T103:T112)</f>
        <v/>
      </c>
      <c r="U113" s="94">
        <f>SUM(U103:U112)</f>
        <v/>
      </c>
      <c r="V113" s="94">
        <f>SUM(V103:V112)</f>
        <v/>
      </c>
      <c r="W113" s="143" t="n"/>
      <c r="X113" s="136" t="n"/>
      <c r="Y113" s="136" t="n"/>
      <c r="Z113" s="136" t="n"/>
      <c r="AA113" s="136" t="n"/>
      <c r="AB113" s="135" t="n"/>
    </row>
    <row r="114" ht="25.5" customFormat="1" customHeight="1" s="5">
      <c r="A114" s="141" t="n"/>
      <c r="B114" s="138" t="n"/>
      <c r="C114" s="140" t="n"/>
      <c r="D114" s="139" t="n"/>
      <c r="E114" s="141" t="n"/>
      <c r="F114" s="138" t="n"/>
      <c r="G114" s="140" t="n"/>
      <c r="H114" s="139" t="n"/>
      <c r="I114" s="141" t="n"/>
      <c r="J114" s="141" t="n"/>
      <c r="K114" s="141" t="n"/>
      <c r="L114" s="141" t="n"/>
      <c r="M114" s="141" t="n"/>
      <c r="N114" s="141" t="n"/>
      <c r="O114" s="141" t="n"/>
      <c r="P114" s="141" t="n"/>
      <c r="Q114" s="143">
        <f>Q113+R113</f>
        <v/>
      </c>
      <c r="R114" s="133" t="n"/>
      <c r="S114" s="143">
        <f>S113+T113</f>
        <v/>
      </c>
      <c r="T114" s="133" t="n"/>
      <c r="U114" s="144">
        <f>U113+V113</f>
        <v/>
      </c>
      <c r="V114" s="133" t="n"/>
      <c r="W114" s="138" t="n"/>
      <c r="X114" s="140" t="n"/>
      <c r="Y114" s="140" t="n"/>
      <c r="Z114" s="140" t="n"/>
      <c r="AA114" s="140" t="n"/>
      <c r="AB114" s="139" t="n"/>
    </row>
    <row r="115" customFormat="1" s="5">
      <c r="A115" s="111" t="inlineStr">
        <is>
          <t xml:space="preserve">FORMACIÓN Y CAPACITACIÓN SEDE DEPARTAMENTAL </t>
        </is>
      </c>
      <c r="B115" s="134" t="n"/>
      <c r="C115" s="134" t="n"/>
      <c r="D115" s="134" t="n"/>
      <c r="E115" s="134" t="n"/>
      <c r="F115" s="134" t="n"/>
      <c r="G115" s="134" t="n"/>
      <c r="H115" s="134" t="n"/>
      <c r="I115" s="134" t="n"/>
      <c r="J115" s="134" t="n"/>
      <c r="K115" s="134" t="n"/>
      <c r="L115" s="134" t="n"/>
      <c r="M115" s="134" t="n"/>
      <c r="N115" s="134" t="n"/>
      <c r="O115" s="134" t="n"/>
      <c r="P115" s="134" t="n"/>
      <c r="Q115" s="134" t="n"/>
      <c r="R115" s="134" t="n"/>
      <c r="S115" s="134" t="n"/>
      <c r="T115" s="134" t="n"/>
      <c r="U115" s="134" t="n"/>
      <c r="V115" s="134" t="n"/>
      <c r="W115" s="134" t="n"/>
      <c r="X115" s="134" t="n"/>
      <c r="Y115" s="134" t="n"/>
      <c r="Z115" s="134" t="n"/>
      <c r="AA115" s="134" t="n"/>
      <c r="AB115" s="134" t="n"/>
    </row>
    <row r="116">
      <c r="A116" s="50" t="n"/>
      <c r="B116" s="79" t="n"/>
      <c r="C116" s="26" t="n"/>
      <c r="D116" s="15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58" t="n"/>
      <c r="R116" s="57" t="n"/>
      <c r="S116" s="57" t="n"/>
      <c r="T116" s="58" t="n"/>
      <c r="U116" s="15">
        <f>Q116+S116</f>
        <v/>
      </c>
      <c r="V116" s="15">
        <f>R116+T116</f>
        <v/>
      </c>
      <c r="W116" s="29" t="n"/>
      <c r="X116" s="151" t="n"/>
      <c r="Y116" s="151" t="n"/>
      <c r="Z116" s="151" t="n"/>
      <c r="AA116" s="151" t="n"/>
      <c r="AB116" s="29" t="n"/>
    </row>
    <row r="117">
      <c r="A117" s="50" t="n"/>
      <c r="B117" s="79" t="n"/>
      <c r="C117" s="26" t="n"/>
      <c r="D117" s="15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58" t="n"/>
      <c r="R117" s="57" t="n"/>
      <c r="S117" s="57" t="n"/>
      <c r="T117" s="58" t="n"/>
      <c r="U117" s="15">
        <f>Q117+S117</f>
        <v/>
      </c>
      <c r="V117" s="15">
        <f>R117+T117</f>
        <v/>
      </c>
      <c r="W117" s="29" t="n"/>
      <c r="X117" s="151" t="n"/>
      <c r="Y117" s="151" t="n"/>
      <c r="Z117" s="151" t="n"/>
      <c r="AA117" s="151" t="n"/>
      <c r="AB117" s="29" t="n"/>
    </row>
    <row r="118">
      <c r="A118" s="50" t="n"/>
      <c r="B118" s="79" t="n"/>
      <c r="C118" s="26" t="n"/>
      <c r="D118" s="15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58" t="n"/>
      <c r="R118" s="57" t="n"/>
      <c r="S118" s="57" t="n"/>
      <c r="T118" s="58" t="n"/>
      <c r="U118" s="15">
        <f>Q118+S118</f>
        <v/>
      </c>
      <c r="V118" s="15">
        <f>R118+T118</f>
        <v/>
      </c>
      <c r="W118" s="29" t="n"/>
      <c r="X118" s="151" t="n"/>
      <c r="Y118" s="151" t="n"/>
      <c r="Z118" s="151" t="n"/>
      <c r="AA118" s="151" t="n"/>
      <c r="AB118" s="29" t="n"/>
    </row>
    <row r="119">
      <c r="A119" s="50" t="n"/>
      <c r="B119" s="79" t="n"/>
      <c r="C119" s="26" t="n"/>
      <c r="D119" s="15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58" t="n"/>
      <c r="R119" s="57" t="n"/>
      <c r="S119" s="57" t="n"/>
      <c r="T119" s="58" t="n"/>
      <c r="U119" s="15">
        <f>Q119+S119</f>
        <v/>
      </c>
      <c r="V119" s="15">
        <f>R119+T119</f>
        <v/>
      </c>
      <c r="W119" s="50" t="n"/>
      <c r="X119" s="151" t="n"/>
      <c r="Y119" s="151" t="n"/>
      <c r="Z119" s="151" t="n"/>
      <c r="AA119" s="151" t="n"/>
      <c r="AB119" s="29" t="n"/>
    </row>
    <row r="120">
      <c r="A120" s="50" t="n"/>
      <c r="B120" s="79" t="n"/>
      <c r="C120" s="26" t="n"/>
      <c r="D120" s="15" t="n"/>
      <c r="E120" s="51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58" t="n"/>
      <c r="R120" s="57" t="n"/>
      <c r="S120" s="57" t="n"/>
      <c r="T120" s="58" t="n"/>
      <c r="U120" s="15">
        <f>Q120+S120</f>
        <v/>
      </c>
      <c r="V120" s="15">
        <f>R120+T120</f>
        <v/>
      </c>
      <c r="W120" s="50" t="n"/>
      <c r="X120" s="151" t="n"/>
      <c r="Y120" s="151" t="n"/>
      <c r="Z120" s="151" t="n"/>
      <c r="AA120" s="151" t="n"/>
      <c r="AB120" s="29" t="n"/>
    </row>
    <row r="121">
      <c r="A121" s="50" t="n"/>
      <c r="B121" s="79" t="n"/>
      <c r="C121" s="26" t="n"/>
      <c r="D121" s="15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58" t="n"/>
      <c r="R121" s="57" t="n"/>
      <c r="S121" s="57" t="n"/>
      <c r="T121" s="58" t="n"/>
      <c r="U121" s="15">
        <f>Q121+S121</f>
        <v/>
      </c>
      <c r="V121" s="15">
        <f>R121+T121</f>
        <v/>
      </c>
      <c r="W121" s="29" t="n"/>
      <c r="X121" s="151" t="n"/>
      <c r="Y121" s="151" t="n"/>
      <c r="Z121" s="151" t="n"/>
      <c r="AA121" s="151" t="n"/>
      <c r="AB121" s="29" t="n"/>
    </row>
    <row r="122">
      <c r="A122" s="50" t="n"/>
      <c r="B122" s="79" t="n"/>
      <c r="C122" s="33" t="n"/>
      <c r="D122" s="15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58" t="n"/>
      <c r="R122" s="57" t="n"/>
      <c r="S122" s="57" t="n"/>
      <c r="T122" s="58" t="n"/>
      <c r="U122" s="15">
        <f>Q122+S122</f>
        <v/>
      </c>
      <c r="V122" s="15">
        <f>R122+T122</f>
        <v/>
      </c>
      <c r="W122" s="50" t="n"/>
      <c r="X122" s="151" t="n"/>
      <c r="Y122" s="151" t="n"/>
      <c r="Z122" s="151" t="n"/>
      <c r="AA122" s="151" t="n"/>
      <c r="AB122" s="29" t="n"/>
    </row>
    <row r="123">
      <c r="A123" s="50" t="n"/>
      <c r="B123" s="79" t="n"/>
      <c r="C123" s="33" t="n"/>
      <c r="D123" s="15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58" t="n"/>
      <c r="R123" s="57" t="n"/>
      <c r="S123" s="57" t="n"/>
      <c r="T123" s="58" t="n"/>
      <c r="U123" s="15">
        <f>Q123+S123</f>
        <v/>
      </c>
      <c r="V123" s="15">
        <f>R123+T123</f>
        <v/>
      </c>
      <c r="W123" s="50" t="n"/>
      <c r="X123" s="151" t="n"/>
      <c r="Y123" s="151" t="n"/>
      <c r="Z123" s="151" t="n"/>
      <c r="AA123" s="151" t="n"/>
      <c r="AB123" s="29" t="n"/>
    </row>
    <row r="124">
      <c r="A124" s="50" t="n"/>
      <c r="B124" s="79" t="n"/>
      <c r="C124" s="33" t="n"/>
      <c r="D124" s="15" t="n"/>
      <c r="E124" s="51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58" t="n"/>
      <c r="R124" s="57" t="n"/>
      <c r="S124" s="57" t="n"/>
      <c r="T124" s="58" t="n"/>
      <c r="U124" s="15">
        <f>Q124+S124</f>
        <v/>
      </c>
      <c r="V124" s="15">
        <f>R124+T124</f>
        <v/>
      </c>
      <c r="W124" s="50" t="n"/>
      <c r="X124" s="151" t="n"/>
      <c r="Y124" s="151" t="n"/>
      <c r="Z124" s="151" t="n"/>
      <c r="AA124" s="151" t="n"/>
      <c r="AB124" s="29" t="n"/>
    </row>
    <row r="125">
      <c r="A125" s="50" t="n"/>
      <c r="B125" s="79" t="n"/>
      <c r="C125" s="33" t="n"/>
      <c r="D125" s="15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58" t="n"/>
      <c r="R125" s="57" t="n"/>
      <c r="S125" s="57" t="n"/>
      <c r="T125" s="58" t="n"/>
      <c r="U125" s="15">
        <f>Q125+S125</f>
        <v/>
      </c>
      <c r="V125" s="15">
        <f>R125+T125</f>
        <v/>
      </c>
      <c r="W125" s="50" t="n"/>
      <c r="X125" s="151" t="n"/>
      <c r="Y125" s="151" t="n"/>
      <c r="Z125" s="151" t="n"/>
      <c r="AA125" s="151" t="n"/>
      <c r="AB125" s="29" t="n"/>
    </row>
    <row r="126" customFormat="1" s="5">
      <c r="A126" s="143">
        <f>COUNT(A116:A125)</f>
        <v/>
      </c>
      <c r="B126" s="143" t="inlineStr">
        <is>
          <t xml:space="preserve">SUBTOTAL DE HORAS </t>
        </is>
      </c>
      <c r="C126" s="136" t="n"/>
      <c r="D126" s="135" t="n"/>
      <c r="E126" s="143">
        <f>SUM(E116:E125)</f>
        <v/>
      </c>
      <c r="F126" s="143" t="inlineStr">
        <is>
          <t>SUBTOTAL DE PARTICIPANTES</t>
        </is>
      </c>
      <c r="G126" s="136" t="n"/>
      <c r="H126" s="135" t="n"/>
      <c r="I126" s="143">
        <f>COUNTIF(I116:I125,"X")</f>
        <v/>
      </c>
      <c r="J126" s="143">
        <f>COUNTIF(J116:J125,"X")</f>
        <v/>
      </c>
      <c r="K126" s="143">
        <f>COUNTIF(K116:K125,"X")</f>
        <v/>
      </c>
      <c r="L126" s="143">
        <f>COUNTIF(L116:L125,"X")</f>
        <v/>
      </c>
      <c r="M126" s="143">
        <f>COUNTIF(M116:M125,"X")</f>
        <v/>
      </c>
      <c r="N126" s="143">
        <f>COUNTIF(N116:N125,"X")</f>
        <v/>
      </c>
      <c r="O126" s="143">
        <f>COUNTIF(O116:O125,"X")</f>
        <v/>
      </c>
      <c r="P126" s="143">
        <f>COUNTIF(P116:P125,"X")</f>
        <v/>
      </c>
      <c r="Q126" s="94">
        <f>SUM(Q116:Q125)</f>
        <v/>
      </c>
      <c r="R126" s="94">
        <f>SUM(R116:R125)</f>
        <v/>
      </c>
      <c r="S126" s="94">
        <f>SUM(S116:S125)</f>
        <v/>
      </c>
      <c r="T126" s="94">
        <f>SUM(T116:T125)</f>
        <v/>
      </c>
      <c r="U126" s="94">
        <f>SUM(U116:U125)</f>
        <v/>
      </c>
      <c r="V126" s="94">
        <f>SUM(V116:V125)</f>
        <v/>
      </c>
      <c r="W126" s="143" t="n"/>
      <c r="X126" s="136" t="n"/>
      <c r="Y126" s="136" t="n"/>
      <c r="Z126" s="136" t="n"/>
      <c r="AA126" s="136" t="n"/>
      <c r="AB126" s="135" t="n"/>
    </row>
    <row r="127" customFormat="1" s="5">
      <c r="A127" s="141" t="n"/>
      <c r="B127" s="138" t="n"/>
      <c r="C127" s="140" t="n"/>
      <c r="D127" s="139" t="n"/>
      <c r="E127" s="141" t="n"/>
      <c r="F127" s="138" t="n"/>
      <c r="G127" s="140" t="n"/>
      <c r="H127" s="139" t="n"/>
      <c r="I127" s="141" t="n"/>
      <c r="J127" s="141" t="n"/>
      <c r="K127" s="141" t="n"/>
      <c r="L127" s="141" t="n"/>
      <c r="M127" s="141" t="n"/>
      <c r="N127" s="141" t="n"/>
      <c r="O127" s="141" t="n"/>
      <c r="P127" s="141" t="n"/>
      <c r="Q127" s="143">
        <f>Q126+R126</f>
        <v/>
      </c>
      <c r="R127" s="133" t="n"/>
      <c r="S127" s="143">
        <f>S126+T126</f>
        <v/>
      </c>
      <c r="T127" s="133" t="n"/>
      <c r="U127" s="144">
        <f>U126+V126</f>
        <v/>
      </c>
      <c r="V127" s="133" t="n"/>
      <c r="W127" s="138" t="n"/>
      <c r="X127" s="140" t="n"/>
      <c r="Y127" s="140" t="n"/>
      <c r="Z127" s="140" t="n"/>
      <c r="AA127" s="140" t="n"/>
      <c r="AB127" s="139" t="n"/>
    </row>
  </sheetData>
  <mergeCells count="183">
    <mergeCell ref="P35:P36"/>
    <mergeCell ref="N22:N23"/>
    <mergeCell ref="M48:M49"/>
    <mergeCell ref="E48:E49"/>
    <mergeCell ref="J9:J10"/>
    <mergeCell ref="P22:P23"/>
    <mergeCell ref="W8:W10"/>
    <mergeCell ref="Q62:R62"/>
    <mergeCell ref="S62:T62"/>
    <mergeCell ref="Q127:R127"/>
    <mergeCell ref="U8:V9"/>
    <mergeCell ref="N61:N62"/>
    <mergeCell ref="P61:P62"/>
    <mergeCell ref="E87:E88"/>
    <mergeCell ref="A63:AB63"/>
    <mergeCell ref="E74:E75"/>
    <mergeCell ref="A115:AB115"/>
    <mergeCell ref="B100:D101"/>
    <mergeCell ref="A102:AB102"/>
    <mergeCell ref="A113:A114"/>
    <mergeCell ref="Q88:R88"/>
    <mergeCell ref="B61:D62"/>
    <mergeCell ref="N48:N49"/>
    <mergeCell ref="S49:T49"/>
    <mergeCell ref="P48:P49"/>
    <mergeCell ref="J100:J101"/>
    <mergeCell ref="A22:A23"/>
    <mergeCell ref="E8:E10"/>
    <mergeCell ref="L100:L101"/>
    <mergeCell ref="E113:E114"/>
    <mergeCell ref="M61:M62"/>
    <mergeCell ref="M126:M127"/>
    <mergeCell ref="K61:K62"/>
    <mergeCell ref="O126:O127"/>
    <mergeCell ref="J22:J23"/>
    <mergeCell ref="B8:B10"/>
    <mergeCell ref="Q49:R49"/>
    <mergeCell ref="I35:I36"/>
    <mergeCell ref="A35:A36"/>
    <mergeCell ref="M100:M101"/>
    <mergeCell ref="K9:K10"/>
    <mergeCell ref="M9:M10"/>
    <mergeCell ref="O9:O10"/>
    <mergeCell ref="AB8:AB10"/>
    <mergeCell ref="A3:AB3"/>
    <mergeCell ref="Q75:R75"/>
    <mergeCell ref="S75:T75"/>
    <mergeCell ref="A48:A49"/>
    <mergeCell ref="A61:A62"/>
    <mergeCell ref="P9:P10"/>
    <mergeCell ref="A5:AB5"/>
    <mergeCell ref="J74:J75"/>
    <mergeCell ref="F6:G6"/>
    <mergeCell ref="B113:D114"/>
    <mergeCell ref="I87:I88"/>
    <mergeCell ref="A4:AB4"/>
    <mergeCell ref="A87:A88"/>
    <mergeCell ref="A74:A75"/>
    <mergeCell ref="B35:D36"/>
    <mergeCell ref="Q23:R23"/>
    <mergeCell ref="P126:P127"/>
    <mergeCell ref="J113:J114"/>
    <mergeCell ref="S23:T23"/>
    <mergeCell ref="M74:M75"/>
    <mergeCell ref="L113:L114"/>
    <mergeCell ref="O74:O75"/>
    <mergeCell ref="O22:O23"/>
    <mergeCell ref="G8:G10"/>
    <mergeCell ref="J35:J36"/>
    <mergeCell ref="A24:AB24"/>
    <mergeCell ref="L35:L36"/>
    <mergeCell ref="I48:I49"/>
    <mergeCell ref="W126:AB127"/>
    <mergeCell ref="K48:K49"/>
    <mergeCell ref="L22:L23"/>
    <mergeCell ref="P87:P88"/>
    <mergeCell ref="F35:H36"/>
    <mergeCell ref="F126:H127"/>
    <mergeCell ref="Q6:U6"/>
    <mergeCell ref="O100:O101"/>
    <mergeCell ref="F22:H23"/>
    <mergeCell ref="W100:AB101"/>
    <mergeCell ref="Q8:R9"/>
    <mergeCell ref="S8:T9"/>
    <mergeCell ref="I9:I10"/>
    <mergeCell ref="F100:H101"/>
    <mergeCell ref="S114:T114"/>
    <mergeCell ref="U114:V114"/>
    <mergeCell ref="E126:E127"/>
    <mergeCell ref="A50:AB50"/>
    <mergeCell ref="J48:J49"/>
    <mergeCell ref="A2:AB2"/>
    <mergeCell ref="L48:L49"/>
    <mergeCell ref="A8:A10"/>
    <mergeCell ref="I61:I62"/>
    <mergeCell ref="I126:I127"/>
    <mergeCell ref="K126:K127"/>
    <mergeCell ref="W48:AB49"/>
    <mergeCell ref="U49:V49"/>
    <mergeCell ref="F48:H49"/>
    <mergeCell ref="U36:V36"/>
    <mergeCell ref="J87:J88"/>
    <mergeCell ref="L87:L88"/>
    <mergeCell ref="O35:O36"/>
    <mergeCell ref="I100:I101"/>
    <mergeCell ref="K100:K101"/>
    <mergeCell ref="L74:L75"/>
    <mergeCell ref="L126:L127"/>
    <mergeCell ref="S101:T101"/>
    <mergeCell ref="X8:X10"/>
    <mergeCell ref="F74:H75"/>
    <mergeCell ref="H8:H10"/>
    <mergeCell ref="W113:AB114"/>
    <mergeCell ref="Q114:R114"/>
    <mergeCell ref="L9:L10"/>
    <mergeCell ref="N9:N10"/>
    <mergeCell ref="U62:V62"/>
    <mergeCell ref="F113:H114"/>
    <mergeCell ref="S127:T127"/>
    <mergeCell ref="W35:AB36"/>
    <mergeCell ref="U127:V127"/>
    <mergeCell ref="W22:AB23"/>
    <mergeCell ref="O48:O49"/>
    <mergeCell ref="J61:J62"/>
    <mergeCell ref="L61:L62"/>
    <mergeCell ref="I74:I75"/>
    <mergeCell ref="N126:N127"/>
    <mergeCell ref="K74:K75"/>
    <mergeCell ref="S88:T88"/>
    <mergeCell ref="C8:C10"/>
    <mergeCell ref="W61:AB62"/>
    <mergeCell ref="U88:V88"/>
    <mergeCell ref="F61:H62"/>
    <mergeCell ref="O87:O88"/>
    <mergeCell ref="A76:AB76"/>
    <mergeCell ref="N100:N101"/>
    <mergeCell ref="P100:P101"/>
    <mergeCell ref="I113:I114"/>
    <mergeCell ref="K113:K114"/>
    <mergeCell ref="B126:D127"/>
    <mergeCell ref="M113:M114"/>
    <mergeCell ref="Y8:AA9"/>
    <mergeCell ref="D8:D10"/>
    <mergeCell ref="B22:D23"/>
    <mergeCell ref="K35:K36"/>
    <mergeCell ref="F87:H88"/>
    <mergeCell ref="I22:I23"/>
    <mergeCell ref="M35:M36"/>
    <mergeCell ref="E35:E36"/>
    <mergeCell ref="U101:V101"/>
    <mergeCell ref="K22:K23"/>
    <mergeCell ref="O113:O114"/>
    <mergeCell ref="M22:M23"/>
    <mergeCell ref="A126:A127"/>
    <mergeCell ref="W87:AB88"/>
    <mergeCell ref="W74:AB75"/>
    <mergeCell ref="U75:V75"/>
    <mergeCell ref="E61:E62"/>
    <mergeCell ref="A11:AB11"/>
    <mergeCell ref="A100:A101"/>
    <mergeCell ref="N87:N88"/>
    <mergeCell ref="O61:O62"/>
    <mergeCell ref="B48:D49"/>
    <mergeCell ref="N74:N75"/>
    <mergeCell ref="Q36:R36"/>
    <mergeCell ref="P74:P75"/>
    <mergeCell ref="S36:T36"/>
    <mergeCell ref="K87:K88"/>
    <mergeCell ref="M87:M88"/>
    <mergeCell ref="I8:P8"/>
    <mergeCell ref="E100:E101"/>
    <mergeCell ref="J126:J127"/>
    <mergeCell ref="A37:AB37"/>
    <mergeCell ref="E22:E23"/>
    <mergeCell ref="A89:AB89"/>
    <mergeCell ref="N113:N114"/>
    <mergeCell ref="U23:V23"/>
    <mergeCell ref="Q101:R101"/>
    <mergeCell ref="P113:P114"/>
    <mergeCell ref="B74:D75"/>
    <mergeCell ref="B87:D88"/>
    <mergeCell ref="F8:F10"/>
    <mergeCell ref="N35:N36"/>
  </mergeCells>
  <pageMargins left="0.7" right="0.7" top="0.75" bottom="0.75" header="0.3" footer="0.3"/>
  <pageSetup orientation="portrait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H30"/>
  <sheetViews>
    <sheetView showGridLines="0" workbookViewId="0">
      <selection activeCell="F26" sqref="F26"/>
    </sheetView>
  </sheetViews>
  <sheetFormatPr baseColWidth="10" defaultColWidth="10.7109375" defaultRowHeight="15"/>
  <cols>
    <col width="11.42578125" customWidth="1" style="63" min="1" max="1"/>
    <col width="6.85546875" customWidth="1" style="63" min="2" max="2"/>
    <col width="29.28515625" customWidth="1" style="63" min="3" max="3"/>
    <col width="11.42578125" customWidth="1" style="63" min="4" max="4"/>
    <col width="13.85546875" bestFit="1" customWidth="1" style="63" min="6" max="6"/>
    <col width="14.7109375" customWidth="1" style="63" min="8" max="8"/>
  </cols>
  <sheetData>
    <row r="1" s="63"/>
    <row r="2" s="63"/>
    <row r="3" s="63"/>
    <row r="4" ht="15" customHeight="1" s="63">
      <c r="C4" s="131" t="inlineStr">
        <is>
          <t>RESUMEN DE EVENTOS DE CAPACITACIÓN 2026</t>
        </is>
      </c>
    </row>
    <row r="5" ht="15" customHeight="1" s="63">
      <c r="B5" s="87" t="n"/>
      <c r="C5" s="87" t="n"/>
      <c r="D5" s="87" t="n"/>
      <c r="E5" s="87" t="n"/>
      <c r="F5" s="87" t="n"/>
      <c r="G5" s="87" t="n"/>
      <c r="H5" s="87" t="n"/>
    </row>
    <row r="6" ht="32.25" customHeight="1" s="63">
      <c r="B6" s="64" t="inlineStr">
        <is>
          <t>No.</t>
        </is>
      </c>
      <c r="C6" s="65" t="inlineStr">
        <is>
          <t>NOMBRE DEL MUNICIPIO</t>
        </is>
      </c>
      <c r="D6" s="64" t="inlineStr">
        <is>
          <t>EVENTOS</t>
        </is>
      </c>
      <c r="E6" s="64" t="inlineStr">
        <is>
          <t>HORAS</t>
        </is>
      </c>
      <c r="F6" s="64" t="inlineStr">
        <is>
          <t>HOMBRES</t>
        </is>
      </c>
      <c r="G6" s="64" t="inlineStr">
        <is>
          <t>MUJERES</t>
        </is>
      </c>
      <c r="H6" s="65" t="inlineStr">
        <is>
          <t>SUB-TOTAL PARTICIPANTES</t>
        </is>
      </c>
    </row>
    <row r="7">
      <c r="B7" s="88" t="n">
        <v>1</v>
      </c>
      <c r="C7" s="89">
        <f>'FORMATO DE CAPACITACIONES 2026'!A11</f>
        <v/>
      </c>
      <c r="D7" s="90">
        <f>'FORMATO DE CAPACITACIONES 2026'!A22</f>
        <v/>
      </c>
      <c r="E7" s="90">
        <f>'FORMATO DE CAPACITACIONES 2026'!E22</f>
        <v/>
      </c>
      <c r="F7" s="90">
        <f>'FORMATO DE CAPACITACIONES 2026'!U22</f>
        <v/>
      </c>
      <c r="G7" s="90">
        <f>'FORMATO DE CAPACITACIONES 2026'!V22</f>
        <v/>
      </c>
      <c r="H7" s="90">
        <f>SUM(F7:G7)</f>
        <v/>
      </c>
    </row>
    <row r="8">
      <c r="B8" s="88" t="n">
        <v>2</v>
      </c>
      <c r="C8" s="89">
        <f>'FORMATO DE CAPACITACIONES 2026'!A24</f>
        <v/>
      </c>
      <c r="D8" s="90">
        <f>'FORMATO DE CAPACITACIONES 2026'!A35</f>
        <v/>
      </c>
      <c r="E8" s="90">
        <f>'FORMATO DE CAPACITACIONES 2026'!E35</f>
        <v/>
      </c>
      <c r="F8" s="90">
        <f>'FORMATO DE CAPACITACIONES 2026'!U35</f>
        <v/>
      </c>
      <c r="G8" s="90">
        <f>'FORMATO DE CAPACITACIONES 2026'!V35</f>
        <v/>
      </c>
      <c r="H8" s="90">
        <f>SUM(F8:G8)</f>
        <v/>
      </c>
    </row>
    <row r="9">
      <c r="B9" s="88" t="n">
        <v>3</v>
      </c>
      <c r="C9" s="89">
        <f>'FORMATO DE CAPACITACIONES 2026'!A37</f>
        <v/>
      </c>
      <c r="D9" s="90">
        <f>'FORMATO DE CAPACITACIONES 2026'!A48</f>
        <v/>
      </c>
      <c r="E9" s="90">
        <f>'FORMATO DE CAPACITACIONES 2026'!E48</f>
        <v/>
      </c>
      <c r="F9" s="90">
        <f>'FORMATO DE CAPACITACIONES 2026'!U48</f>
        <v/>
      </c>
      <c r="G9" s="90">
        <f>'FORMATO DE CAPACITACIONES 2026'!V48</f>
        <v/>
      </c>
      <c r="H9" s="90">
        <f>SUM(F9:G9)</f>
        <v/>
      </c>
    </row>
    <row r="10">
      <c r="B10" s="88" t="n">
        <v>4</v>
      </c>
      <c r="C10" s="89">
        <f>'FORMATO DE CAPACITACIONES 2026'!A50</f>
        <v/>
      </c>
      <c r="D10" s="90">
        <f>'FORMATO DE CAPACITACIONES 2026'!A61</f>
        <v/>
      </c>
      <c r="E10" s="90">
        <f>'FORMATO DE CAPACITACIONES 2026'!E61</f>
        <v/>
      </c>
      <c r="F10" s="90">
        <f>'FORMATO DE CAPACITACIONES 2026'!U61</f>
        <v/>
      </c>
      <c r="G10" s="90">
        <f>'FORMATO DE CAPACITACIONES 2026'!V61</f>
        <v/>
      </c>
      <c r="H10" s="90">
        <f>SUM(F10:G10)</f>
        <v/>
      </c>
    </row>
    <row r="11">
      <c r="B11" s="88" t="n">
        <v>5</v>
      </c>
      <c r="C11" s="89">
        <f>'FORMATO DE CAPACITACIONES 2026'!A63</f>
        <v/>
      </c>
      <c r="D11" s="90">
        <f>'FORMATO DE CAPACITACIONES 2026'!A74</f>
        <v/>
      </c>
      <c r="E11" s="90">
        <f>'FORMATO DE CAPACITACIONES 2026'!E74</f>
        <v/>
      </c>
      <c r="F11" s="90">
        <f>'FORMATO DE CAPACITACIONES 2026'!U74</f>
        <v/>
      </c>
      <c r="G11" s="90">
        <f>'FORMATO DE CAPACITACIONES 2026'!V74</f>
        <v/>
      </c>
      <c r="H11" s="90">
        <f>SUM(F11:G11)</f>
        <v/>
      </c>
    </row>
    <row r="12">
      <c r="B12" s="88" t="n">
        <v>6</v>
      </c>
      <c r="C12" s="89">
        <f>'FORMATO DE CAPACITACIONES 2026'!A76</f>
        <v/>
      </c>
      <c r="D12" s="90">
        <f>'FORMATO DE CAPACITACIONES 2026'!A87</f>
        <v/>
      </c>
      <c r="E12" s="90">
        <f>'FORMATO DE CAPACITACIONES 2026'!E87</f>
        <v/>
      </c>
      <c r="F12" s="90">
        <f>'FORMATO DE CAPACITACIONES 2026'!U87</f>
        <v/>
      </c>
      <c r="G12" s="90">
        <f>'FORMATO DE CAPACITACIONES 2026'!V87</f>
        <v/>
      </c>
      <c r="H12" s="90">
        <f>SUM(F12:G12)</f>
        <v/>
      </c>
    </row>
    <row r="13">
      <c r="B13" s="88" t="n">
        <v>7</v>
      </c>
      <c r="C13" s="89">
        <f>'FORMATO DE CAPACITACIONES 2026'!A89</f>
        <v/>
      </c>
      <c r="D13" s="90">
        <f>'FORMATO DE CAPACITACIONES 2026'!A100</f>
        <v/>
      </c>
      <c r="E13" s="90">
        <f>'FORMATO DE CAPACITACIONES 2026'!E100</f>
        <v/>
      </c>
      <c r="F13" s="90">
        <f>'FORMATO DE CAPACITACIONES 2026'!U100</f>
        <v/>
      </c>
      <c r="G13" s="90">
        <f>'FORMATO DE CAPACITACIONES 2026'!V100</f>
        <v/>
      </c>
      <c r="H13" s="90">
        <f>SUM(F13:G13)</f>
        <v/>
      </c>
    </row>
    <row r="14">
      <c r="B14" s="88" t="n">
        <v>8</v>
      </c>
      <c r="C14" s="89">
        <f>'FORMATO DE CAPACITACIONES 2026'!A102</f>
        <v/>
      </c>
      <c r="D14" s="90">
        <f>'FORMATO DE CAPACITACIONES 2026'!A113</f>
        <v/>
      </c>
      <c r="E14" s="90">
        <f>'FORMATO DE CAPACITACIONES 2026'!E113</f>
        <v/>
      </c>
      <c r="F14" s="90">
        <f>'FORMATO DE CAPACITACIONES 2026'!U113</f>
        <v/>
      </c>
      <c r="G14" s="90">
        <f>'FORMATO DE CAPACITACIONES 2026'!V113</f>
        <v/>
      </c>
      <c r="H14" s="90">
        <f>SUM(F14:G14)</f>
        <v/>
      </c>
    </row>
    <row r="15" s="63">
      <c r="B15" s="88" t="n">
        <v>9</v>
      </c>
      <c r="C15" s="89">
        <f>'FORMATO DE CAPACITACIONES 2026'!A115</f>
        <v/>
      </c>
      <c r="D15" s="90">
        <f>'FORMATO DE CAPACITACIONES 2026'!A126</f>
        <v/>
      </c>
      <c r="E15" s="90">
        <f>'FORMATO DE CAPACITACIONES 2026'!E126</f>
        <v/>
      </c>
      <c r="F15" s="90">
        <f>'FORMATO DE CAPACITACIONES 2026'!U126</f>
        <v/>
      </c>
      <c r="G15" s="90">
        <f>'FORMATO DE CAPACITACIONES 2026'!V126</f>
        <v/>
      </c>
      <c r="H15" s="90">
        <f>SUM(F15:G15)</f>
        <v/>
      </c>
    </row>
    <row r="16">
      <c r="B16" s="91" t="inlineStr">
        <is>
          <t xml:space="preserve">TOTAL </t>
        </is>
      </c>
      <c r="C16" s="133" t="n"/>
      <c r="D16" s="91">
        <f>SUM(D7:D15)</f>
        <v/>
      </c>
      <c r="E16" s="91">
        <f>SUM(E7:E15)</f>
        <v/>
      </c>
      <c r="F16" s="91">
        <f>SUM(F7:F15)</f>
        <v/>
      </c>
      <c r="G16" s="91">
        <f>SUM(G7:G15)</f>
        <v/>
      </c>
      <c r="H16" s="91">
        <f>SUM(H7:H15)</f>
        <v/>
      </c>
    </row>
    <row r="17">
      <c r="F17" s="99">
        <f>F16/H16*100%</f>
        <v/>
      </c>
      <c r="G17" s="100">
        <f>G16/H16*100%</f>
        <v/>
      </c>
    </row>
    <row r="19">
      <c r="B19" s="130" t="inlineStr">
        <is>
          <t xml:space="preserve">RESUMEN DE INTERVENCIONES DE CAPACITACIÓN POR ACTIVIDAD </t>
        </is>
      </c>
      <c r="F19" s="132" t="inlineStr">
        <is>
          <t>PROMOTORES</t>
        </is>
      </c>
      <c r="G19" s="132" t="inlineStr">
        <is>
          <t>HOMBRES</t>
        </is>
      </c>
      <c r="H19" s="132" t="inlineStr">
        <is>
          <t>MUJERES</t>
        </is>
      </c>
    </row>
    <row r="20">
      <c r="F20" s="141" t="n"/>
      <c r="G20" s="92">
        <f>'FORMATO DE CAPACITACIONES 2026'!Q22+'FORMATO DE CAPACITACIONES 2026'!Q35+'FORMATO DE CAPACITACIONES 2026'!Q48+'FORMATO DE CAPACITACIONES 2026'!Q61+'FORMATO DE CAPACITACIONES 2026'!Q74+'FORMATO DE CAPACITACIONES 2026'!Q87+'FORMATO DE CAPACITACIONES 2026'!Q100+'FORMATO DE CAPACITACIONES 2026'!Q113+'FORMATO DE CAPACITACIONES 2026'!Q126</f>
        <v/>
      </c>
      <c r="H20" s="92">
        <f>'FORMATO DE CAPACITACIONES 2026'!R22+'FORMATO DE CAPACITACIONES 2026'!R35+'FORMATO DE CAPACITACIONES 2026'!R48+'FORMATO DE CAPACITACIONES 2026'!R61+'FORMATO DE CAPACITACIONES 2026'!R74+'FORMATO DE CAPACITACIONES 2026'!R87+'FORMATO DE CAPACITACIONES 2026'!R100+'FORMATO DE CAPACITACIONES 2026'!R113+'FORMATO DE CAPACITACIONES 2026'!R126</f>
        <v/>
      </c>
    </row>
    <row r="21">
      <c r="B21" s="74" t="inlineStr">
        <is>
          <t>No.</t>
        </is>
      </c>
      <c r="C21" s="75" t="inlineStr">
        <is>
          <t xml:space="preserve">Categoría de las capacitaciones </t>
        </is>
      </c>
      <c r="D21" s="74" t="inlineStr">
        <is>
          <t>EVENTOS</t>
        </is>
      </c>
    </row>
    <row r="22">
      <c r="B22" s="88" t="n">
        <v>1</v>
      </c>
      <c r="C22" s="93" t="inlineStr">
        <is>
          <t xml:space="preserve">Agrícola </t>
        </is>
      </c>
      <c r="D22" s="90">
        <f>'FORMATO DE CAPACITACIONES 2026'!I22+'FORMATO DE CAPACITACIONES 2026'!I35+'FORMATO DE CAPACITACIONES 2026'!I48+'FORMATO DE CAPACITACIONES 2026'!I61+'FORMATO DE CAPACITACIONES 2026'!I74+'FORMATO DE CAPACITACIONES 2026'!I87+'FORMATO DE CAPACITACIONES 2026'!I100+'FORMATO DE CAPACITACIONES 2026'!I113+'FORMATO DE CAPACITACIONES 2026'!I126</f>
        <v/>
      </c>
    </row>
    <row r="23">
      <c r="B23" s="88" t="n">
        <v>2</v>
      </c>
      <c r="C23" s="93" t="inlineStr">
        <is>
          <t xml:space="preserve">Pecuario </t>
        </is>
      </c>
      <c r="D23" s="90">
        <f>'FORMATO DE CAPACITACIONES 2026'!J22+'FORMATO DE CAPACITACIONES 2026'!J35+'FORMATO DE CAPACITACIONES 2026'!J48+'FORMATO DE CAPACITACIONES 2026'!J61+'FORMATO DE CAPACITACIONES 2026'!J74+'FORMATO DE CAPACITACIONES 2026'!J87+'FORMATO DE CAPACITACIONES 2026'!J100+'FORMATO DE CAPACITACIONES 2026'!J113+'FORMATO DE CAPACITACIONES 2026'!J126</f>
        <v/>
      </c>
      <c r="F23" s="102" t="n"/>
      <c r="G23" s="118" t="n"/>
      <c r="H23" s="118" t="n"/>
    </row>
    <row r="24">
      <c r="B24" s="88" t="n">
        <v>3</v>
      </c>
      <c r="C24" s="93" t="inlineStr">
        <is>
          <t xml:space="preserve">Forestal </t>
        </is>
      </c>
      <c r="D24" s="90">
        <f>'FORMATO DE CAPACITACIONES 2026'!K22+'FORMATO DE CAPACITACIONES 2026'!K35+'FORMATO DE CAPACITACIONES 2026'!K48+'FORMATO DE CAPACITACIONES 2026'!K61+'FORMATO DE CAPACITACIONES 2026'!K74+'FORMATO DE CAPACITACIONES 2026'!K87+'FORMATO DE CAPACITACIONES 2026'!K100+'FORMATO DE CAPACITACIONES 2026'!K113+'FORMATO DE CAPACITACIONES 2026'!K126</f>
        <v/>
      </c>
    </row>
    <row r="25">
      <c r="B25" s="88" t="n">
        <v>4</v>
      </c>
      <c r="C25" s="93" t="inlineStr">
        <is>
          <t xml:space="preserve">Hidrobiológico </t>
        </is>
      </c>
      <c r="D25" s="90">
        <f>'FORMATO DE CAPACITACIONES 2026'!L22+'FORMATO DE CAPACITACIONES 2026'!L35+'FORMATO DE CAPACITACIONES 2026'!L48+'FORMATO DE CAPACITACIONES 2026'!L61+'FORMATO DE CAPACITACIONES 2026'!L74+'FORMATO DE CAPACITACIONES 2026'!L87+'FORMATO DE CAPACITACIONES 2026'!L100+'FORMATO DE CAPACITACIONES 2026'!L113+'FORMATO DE CAPACITACIONES 2026'!L126</f>
        <v/>
      </c>
    </row>
    <row r="26" s="63">
      <c r="B26" s="88" t="n">
        <v>5</v>
      </c>
      <c r="C26" s="93" t="inlineStr">
        <is>
          <t xml:space="preserve">Hogar Rural </t>
        </is>
      </c>
      <c r="D26" s="90">
        <f>'FORMATO DE CAPACITACIONES 2026'!M22+'FORMATO DE CAPACITACIONES 2026'!M35+'FORMATO DE CAPACITACIONES 2026'!M48+'FORMATO DE CAPACITACIONES 2026'!M61+'FORMATO DE CAPACITACIONES 2026'!M74+'FORMATO DE CAPACITACIONES 2026'!M87+'FORMATO DE CAPACITACIONES 2026'!M100+'FORMATO DE CAPACITACIONES 2026'!M113+'FORMATO DE CAPACITACIONES 2026'!M126</f>
        <v/>
      </c>
    </row>
    <row r="27" s="63">
      <c r="B27" s="88" t="n">
        <v>6</v>
      </c>
      <c r="C27" s="93" t="inlineStr">
        <is>
          <t>Juventud y Niñez</t>
        </is>
      </c>
      <c r="D27" s="90">
        <f>'FORMATO DE CAPACITACIONES 2026'!N22+'FORMATO DE CAPACITACIONES 2026'!N35+'FORMATO DE CAPACITACIONES 2026'!N48+'FORMATO DE CAPACITACIONES 2026'!N61+'FORMATO DE CAPACITACIONES 2026'!N74+'FORMATO DE CAPACITACIONES 2026'!N87+'FORMATO DE CAPACITACIONES 2026'!N100+'FORMATO DE CAPACITACIONES 2026'!N113+'FORMATO DE CAPACITACIONES 2026'!N126</f>
        <v/>
      </c>
    </row>
    <row r="28" s="63">
      <c r="B28" s="88" t="n">
        <v>7</v>
      </c>
      <c r="C28" s="93" t="inlineStr">
        <is>
          <t>Asociatividad y comercialización</t>
        </is>
      </c>
      <c r="D28" s="90">
        <f>'FORMATO DE CAPACITACIONES 2026'!O22+'FORMATO DE CAPACITACIONES 2026'!O35+'FORMATO DE CAPACITACIONES 2026'!O48+'FORMATO DE CAPACITACIONES 2026'!O61+'FORMATO DE CAPACITACIONES 2026'!O74+'FORMATO DE CAPACITACIONES 2026'!O87+'FORMATO DE CAPACITACIONES 2026'!O100+'FORMATO DE CAPACITACIONES 2026'!O113+'FORMATO DE CAPACITACIONES 2026'!O126</f>
        <v/>
      </c>
    </row>
    <row r="29">
      <c r="B29" s="88" t="n">
        <v>8</v>
      </c>
      <c r="C29" s="93" t="inlineStr">
        <is>
          <t xml:space="preserve">Otro </t>
        </is>
      </c>
      <c r="D29" s="90">
        <f>'FORMATO DE CAPACITACIONES 2026'!P22+'FORMATO DE CAPACITACIONES 2026'!P35+'FORMATO DE CAPACITACIONES 2026'!P48+'FORMATO DE CAPACITACIONES 2026'!P61+'FORMATO DE CAPACITACIONES 2026'!P74+'FORMATO DE CAPACITACIONES 2026'!P87+'FORMATO DE CAPACITACIONES 2026'!P100+'FORMATO DE CAPACITACIONES 2026'!P113+'FORMATO DE CAPACITACIONES 2026'!P126</f>
        <v/>
      </c>
    </row>
    <row r="30">
      <c r="B30" s="91" t="inlineStr">
        <is>
          <t xml:space="preserve">TOTAL </t>
        </is>
      </c>
      <c r="C30" s="133" t="n"/>
      <c r="D30" s="92">
        <f>SUM(D22:D29)</f>
        <v/>
      </c>
    </row>
  </sheetData>
  <mergeCells count="5">
    <mergeCell ref="B30:C30"/>
    <mergeCell ref="B16:C16"/>
    <mergeCell ref="F19:F20"/>
    <mergeCell ref="B19:D20"/>
    <mergeCell ref="C4:H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I34"/>
  <sheetViews>
    <sheetView showGridLines="0" workbookViewId="0">
      <selection activeCell="I18" sqref="I18"/>
    </sheetView>
  </sheetViews>
  <sheetFormatPr baseColWidth="10" defaultColWidth="11.42578125" defaultRowHeight="15"/>
  <cols>
    <col width="39.85546875" customWidth="1" style="63" min="1" max="1"/>
    <col width="13.28515625" customWidth="1" style="63" min="2" max="2"/>
    <col width="28.28515625" customWidth="1" style="63" min="3" max="3"/>
    <col width="11.42578125" customWidth="1" style="63" min="4" max="5"/>
    <col width="22.7109375" customWidth="1" style="63" min="6" max="6"/>
    <col width="11.42578125" customWidth="1" style="63" min="7" max="16384"/>
  </cols>
  <sheetData>
    <row r="3" ht="18.75" customHeight="1" s="63">
      <c r="A3" s="82" t="inlineStr">
        <is>
          <t>INDICACIONES PARA EL LLENADO DEL FORMATO DE INFORME DE CAPACITACIÓN 2026</t>
        </is>
      </c>
      <c r="B3" s="83" t="n"/>
      <c r="C3" s="83" t="n"/>
      <c r="D3" s="83" t="n"/>
      <c r="E3" s="83" t="n"/>
      <c r="F3" s="83" t="n"/>
      <c r="G3" s="83" t="n"/>
      <c r="H3" s="83" t="n"/>
    </row>
    <row r="4">
      <c r="A4" s="61" t="n"/>
    </row>
    <row r="5" ht="15.75" customHeight="1" s="63">
      <c r="A5" s="68" t="inlineStr">
        <is>
          <t>(1) MES:</t>
        </is>
      </c>
      <c r="B5" s="69" t="inlineStr">
        <is>
          <t>Nombre del mes al que corresponde el informe</t>
        </is>
      </c>
      <c r="C5" s="69" t="n"/>
      <c r="D5" s="69" t="n"/>
      <c r="E5" s="69" t="n"/>
      <c r="F5" s="69" t="n"/>
      <c r="G5" s="69" t="n"/>
      <c r="H5" s="69" t="n"/>
    </row>
    <row r="6" ht="15.75" customHeight="1" s="63">
      <c r="A6" s="68" t="inlineStr">
        <is>
          <t>(2) SEDE DEPARTAMENTAL :</t>
        </is>
      </c>
      <c r="B6" s="69" t="inlineStr">
        <is>
          <t>Nombre de la Sede Departamental que corresponde el informe</t>
        </is>
      </c>
      <c r="C6" s="68" t="n"/>
      <c r="D6" s="68" t="n"/>
      <c r="E6" s="68" t="n"/>
      <c r="F6" s="69" t="n"/>
      <c r="G6" s="69" t="n"/>
      <c r="H6" s="69" t="n"/>
    </row>
    <row r="7" ht="15.75" customHeight="1" s="63">
      <c r="A7" s="68" t="inlineStr">
        <is>
          <t>(3) No.</t>
        </is>
      </c>
      <c r="B7" s="69" t="inlineStr">
        <is>
          <t>Numero correlativo de la cantidad de eventos realizados durante el mes informado</t>
        </is>
      </c>
      <c r="C7" s="69" t="n"/>
      <c r="D7" s="69" t="n"/>
      <c r="E7" s="69" t="n"/>
      <c r="F7" s="69" t="n"/>
      <c r="G7" s="69" t="n"/>
      <c r="H7" s="69" t="n"/>
    </row>
    <row r="8" ht="15.75" customHeight="1" s="63">
      <c r="A8" s="68" t="inlineStr">
        <is>
          <t xml:space="preserve">(4) Nombre del evento </t>
        </is>
      </c>
      <c r="B8" s="69" t="inlineStr">
        <is>
          <t>Nombre completo de la actividad (taller, curso, seminario etc.) ÚNICAMENTE REPORTAR EVENTOS DE CAPACITACIÓN, NO REUNIONES NI VISITAS</t>
        </is>
      </c>
      <c r="C8" s="69" t="n"/>
      <c r="D8" s="69" t="n"/>
      <c r="E8" s="69" t="n"/>
      <c r="F8" s="69" t="n"/>
      <c r="G8" s="69" t="n"/>
      <c r="H8" s="69" t="n"/>
    </row>
    <row r="9" ht="15.75" customHeight="1" s="63">
      <c r="A9" s="68" t="inlineStr">
        <is>
          <t xml:space="preserve">(5) Fecha de realización </t>
        </is>
      </c>
      <c r="B9" s="69" t="inlineStr">
        <is>
          <t>Fecha en que se realizó el evento</t>
        </is>
      </c>
      <c r="C9" s="69" t="n"/>
      <c r="D9" s="69" t="n"/>
      <c r="E9" s="69" t="n"/>
      <c r="F9" s="69" t="n"/>
      <c r="G9" s="69" t="n"/>
      <c r="H9" s="69" t="n"/>
    </row>
    <row r="10" ht="15.75" customHeight="1" s="63">
      <c r="A10" s="68" t="inlineStr">
        <is>
          <t xml:space="preserve">(6) Comunidad, Aldea/Municipio </t>
        </is>
      </c>
      <c r="B10" s="69" t="inlineStr">
        <is>
          <t>Nombre de la comunidad, aldea y municipio en el cual se desarrolló el evento</t>
        </is>
      </c>
      <c r="C10" s="69" t="n"/>
      <c r="D10" s="69" t="n"/>
      <c r="E10" s="69" t="n"/>
      <c r="F10" s="69" t="n"/>
      <c r="G10" s="69" t="n"/>
      <c r="H10" s="69" t="n"/>
    </row>
    <row r="11" ht="15.75" customHeight="1" s="63">
      <c r="A11" s="68" t="inlineStr">
        <is>
          <t>(7) Duración del evento (Horas)</t>
        </is>
      </c>
      <c r="B11" s="69" t="inlineStr">
        <is>
          <t>Cantidad de horas de duración de la actividad planificada</t>
        </is>
      </c>
      <c r="C11" s="69" t="n"/>
      <c r="D11" s="69" t="n"/>
      <c r="E11" s="69" t="n"/>
      <c r="F11" s="69" t="n"/>
      <c r="G11" s="69" t="n"/>
      <c r="H11" s="69" t="n"/>
    </row>
    <row r="12" ht="15.75" customHeight="1" s="63">
      <c r="A12" s="84" t="inlineStr">
        <is>
          <t xml:space="preserve">(8) Nombre del promotor </t>
        </is>
      </c>
      <c r="B12" s="85" t="inlineStr">
        <is>
          <t xml:space="preserve">Nombre del promotor de la comunidad </t>
        </is>
      </c>
      <c r="C12" s="69" t="n"/>
      <c r="D12" s="69" t="n"/>
      <c r="E12" s="69" t="n"/>
      <c r="F12" s="69" t="n"/>
      <c r="G12" s="69" t="n"/>
      <c r="H12" s="69" t="n"/>
    </row>
    <row r="13" ht="15.75" customHeight="1" s="63">
      <c r="A13" s="84" t="inlineStr">
        <is>
          <t xml:space="preserve">(9) No. De teléfono </t>
        </is>
      </c>
      <c r="B13" s="85" t="inlineStr">
        <is>
          <t>Número de teléfono del promotor de la comunidad</t>
        </is>
      </c>
      <c r="C13" s="69" t="n"/>
      <c r="D13" s="69" t="n"/>
      <c r="E13" s="69" t="n"/>
      <c r="F13" s="69" t="n"/>
      <c r="G13" s="69" t="n"/>
      <c r="H13" s="69" t="n"/>
    </row>
    <row r="14" ht="15.75" customHeight="1" s="63">
      <c r="A14" s="68" t="inlineStr">
        <is>
          <t>(10) Nombre del capacitador</t>
        </is>
      </c>
      <c r="B14" s="69" t="inlineStr">
        <is>
          <t>Nombre de la persona encargada de llevar a cabo la capacitación</t>
        </is>
      </c>
      <c r="C14" s="69" t="n"/>
      <c r="D14" s="69" t="n"/>
      <c r="E14" s="69" t="n"/>
      <c r="F14" s="69" t="n"/>
      <c r="G14" s="69" t="n"/>
      <c r="H14" s="69" t="n"/>
    </row>
    <row r="15" ht="15.75" customHeight="1" s="63">
      <c r="A15" s="68" t="inlineStr">
        <is>
          <t xml:space="preserve">(11) Orientación de la capacitación </t>
        </is>
      </c>
      <c r="B15" s="69" t="inlineStr">
        <is>
          <t>Intervención a la que aporta la capacitación (Agrícola, pecuario, forestal, hidrobiológico, Hogar Rural u otro)</t>
        </is>
      </c>
      <c r="C15" s="69" t="n"/>
      <c r="D15" s="69" t="n"/>
      <c r="E15" s="69" t="n"/>
      <c r="F15" s="69" t="n"/>
      <c r="G15" s="69" t="n"/>
      <c r="H15" s="69" t="n"/>
    </row>
    <row r="16" ht="15.75" customHeight="1" s="63">
      <c r="A16" s="68" t="inlineStr">
        <is>
          <t>(12) Número de Extensionistas</t>
        </is>
      </c>
      <c r="B16" s="69" t="inlineStr">
        <is>
          <t>Número de extensionistas participantes en el evento, hombres y mujeres</t>
        </is>
      </c>
      <c r="C16" s="69" t="n"/>
      <c r="D16" s="69" t="n"/>
      <c r="E16" s="69" t="n"/>
      <c r="F16" s="69" t="n"/>
      <c r="G16" s="69" t="n"/>
      <c r="H16" s="69" t="n"/>
    </row>
    <row r="17" ht="15.75" customHeight="1" s="63">
      <c r="A17" s="68" t="inlineStr">
        <is>
          <t xml:space="preserve">(13) Número de Promotores </t>
        </is>
      </c>
      <c r="B17" s="69" t="inlineStr">
        <is>
          <t>Número de promotores participantes en el evento, hombres y mujeres</t>
        </is>
      </c>
      <c r="C17" s="69" t="n"/>
      <c r="D17" s="69" t="n"/>
      <c r="E17" s="69" t="n"/>
      <c r="F17" s="69" t="n"/>
      <c r="G17" s="69" t="n"/>
      <c r="H17" s="69" t="n"/>
    </row>
    <row r="18" ht="15.75" customHeight="1" s="63">
      <c r="A18" s="68" t="inlineStr">
        <is>
          <t xml:space="preserve">(14) Otros participantes </t>
        </is>
      </c>
      <c r="B18" s="69" t="inlineStr">
        <is>
          <t>Número de participantes que no sean extensionistas ni promotores que participaron en el evento, hombres y mujeres</t>
        </is>
      </c>
      <c r="C18" s="69" t="n"/>
      <c r="D18" s="69" t="n"/>
      <c r="E18" s="69" t="n"/>
      <c r="F18" s="69" t="n"/>
      <c r="G18" s="69" t="n"/>
      <c r="H18" s="69" t="n"/>
    </row>
    <row r="19" ht="15.75" customHeight="1" s="63">
      <c r="A19" s="68" t="inlineStr">
        <is>
          <t xml:space="preserve">(15) Total de participantes </t>
        </is>
      </c>
      <c r="B19" s="69" t="inlineStr">
        <is>
          <t>Sumatoria total de participantes en el evento, hombres y mujeres</t>
        </is>
      </c>
      <c r="C19" s="69" t="n"/>
      <c r="D19" s="69" t="n"/>
      <c r="E19" s="69" t="n"/>
      <c r="F19" s="69" t="n"/>
      <c r="G19" s="69" t="n"/>
      <c r="H19" s="69" t="n"/>
    </row>
    <row r="20" ht="15.75" customHeight="1" s="63">
      <c r="A20" s="68" t="inlineStr">
        <is>
          <t xml:space="preserve">(16) Institución con quien coordina </t>
        </is>
      </c>
      <c r="B20" s="69" t="inlineStr">
        <is>
          <t>Nombre del organismo gubernamental o no gubernamental con quien coordinó la actividad Ej: (MAGA, COUNTERPART, CRS, FAO, CATIE ETC…)</t>
        </is>
      </c>
      <c r="C20" s="69" t="n"/>
      <c r="D20" s="69" t="n"/>
      <c r="E20" s="69" t="n"/>
      <c r="F20" s="69" t="n"/>
      <c r="G20" s="69" t="n"/>
      <c r="H20" s="69" t="n"/>
    </row>
    <row r="21" ht="15.75" customHeight="1" s="63">
      <c r="A21" s="68" t="inlineStr">
        <is>
          <t xml:space="preserve">(17) Costo Total </t>
        </is>
      </c>
      <c r="B21" s="69" t="inlineStr">
        <is>
          <t>El valor de las compras realizadas para desarrollar el evento. (Hospedaje, alimentación y materiales de capacitación)</t>
        </is>
      </c>
      <c r="C21" s="69" t="n"/>
      <c r="D21" s="69" t="n"/>
      <c r="E21" s="69" t="n"/>
      <c r="F21" s="69" t="n"/>
      <c r="G21" s="69" t="n"/>
      <c r="H21" s="69" t="n"/>
    </row>
    <row r="22" ht="21" customHeight="1" s="63">
      <c r="A22" s="68" t="inlineStr">
        <is>
          <t xml:space="preserve">(18) Medios de Verificación </t>
        </is>
      </c>
      <c r="B22" s="69" t="inlineStr">
        <is>
          <t>Marcar con una X si cuentan con Fotografías, listados de participantes entre otros (No es necesario adjuntar listados o fotografías)</t>
        </is>
      </c>
      <c r="C22" s="69" t="n"/>
      <c r="D22" s="69" t="n"/>
      <c r="E22" s="69" t="n"/>
      <c r="F22" s="69" t="n"/>
      <c r="G22" s="69" t="n"/>
      <c r="H22" s="69" t="n"/>
    </row>
    <row r="23" ht="15.75" customHeight="1" s="63">
      <c r="A23" s="68" t="inlineStr">
        <is>
          <t xml:space="preserve">(19) Observaciones </t>
        </is>
      </c>
      <c r="B23" s="69" t="inlineStr">
        <is>
          <t>Cualquier otro dato que se considere importante o de relevancia respecto a la actividad informada.</t>
        </is>
      </c>
      <c r="C23" s="69" t="n"/>
      <c r="D23" s="69" t="n"/>
      <c r="E23" s="69" t="n"/>
      <c r="F23" s="69" t="n"/>
      <c r="G23" s="69" t="n"/>
      <c r="H23" s="69" t="n"/>
    </row>
    <row r="26" ht="21" customHeight="1" s="63">
      <c r="A26" s="67" t="inlineStr">
        <is>
          <t>Es importante para todos y todas que no cambiemos el formato, eso permitirá uniformizar el traslado y recepción de información.</t>
        </is>
      </c>
      <c r="B26" s="62" t="n"/>
      <c r="C26" s="62" t="n"/>
      <c r="D26" s="62" t="n"/>
      <c r="E26" s="62" t="n"/>
    </row>
    <row r="27" ht="21" customHeight="1" s="63">
      <c r="A27" s="67" t="inlineStr">
        <is>
          <t>La informacion deberá ser enviada en el transcurso de los primeros 5 días de cada mes subsiguiente.</t>
        </is>
      </c>
      <c r="B27" s="62" t="n"/>
      <c r="C27" s="62" t="n"/>
      <c r="D27" s="62" t="n"/>
      <c r="E27" s="62" t="n"/>
    </row>
    <row r="28">
      <c r="A28" s="61" t="n"/>
    </row>
    <row r="29" ht="15.75" customHeight="1" s="63">
      <c r="A29" s="68" t="inlineStr">
        <is>
          <t>La información mensual deberá ser enviada a :</t>
        </is>
      </c>
      <c r="B29" s="69" t="n"/>
      <c r="C29" s="70" t="n"/>
      <c r="D29" s="71" t="n"/>
      <c r="E29" s="70" t="n"/>
      <c r="F29" s="69" t="n"/>
      <c r="G29" s="69" t="n"/>
      <c r="H29" s="69" t="n"/>
      <c r="I29" s="69" t="n"/>
    </row>
    <row r="30" ht="15.75" customHeight="1" s="63">
      <c r="A30" s="68" t="inlineStr">
        <is>
          <t xml:space="preserve">Lic. Iván Asdrubald Guzmán </t>
        </is>
      </c>
      <c r="B30" s="103" t="inlineStr">
        <is>
          <t>ivanguzman07.ig@gmail.com</t>
        </is>
      </c>
      <c r="C30" s="69" t="n"/>
      <c r="D30" s="68" t="inlineStr">
        <is>
          <t xml:space="preserve">Apoyo Profesional Formación y Capacitación </t>
        </is>
      </c>
      <c r="E30" s="69" t="n"/>
      <c r="F30" s="69" t="n"/>
      <c r="G30" s="72" t="inlineStr">
        <is>
          <t>5430-2859</t>
        </is>
      </c>
      <c r="H30" s="69" t="n"/>
      <c r="I30" s="69" t="n"/>
    </row>
    <row r="31" ht="15.75" customHeight="1" s="63">
      <c r="A31" s="68" t="n"/>
      <c r="B31" s="103" t="inlineStr">
        <is>
          <t>contratista.ivan.guzman@maga.gob.gt</t>
        </is>
      </c>
      <c r="C31" s="69" t="n"/>
      <c r="D31" s="68" t="n"/>
      <c r="E31" s="69" t="n"/>
      <c r="F31" s="69" t="n"/>
      <c r="G31" s="72" t="n"/>
      <c r="H31" s="69" t="n"/>
      <c r="I31" s="69" t="n"/>
    </row>
    <row r="32" ht="15" customHeight="1" s="63">
      <c r="A32" s="73" t="inlineStr">
        <is>
          <t>Ing. Carlos Ernesto Rosales Betancourt</t>
        </is>
      </c>
      <c r="B32" s="103" t="inlineStr">
        <is>
          <t>contratista.carlos.rosales@maga.gob.gt</t>
        </is>
      </c>
      <c r="C32" s="69" t="n"/>
      <c r="D32" s="68" t="inlineStr">
        <is>
          <t xml:space="preserve">Apoyo Profesional Formación y Capacitación </t>
        </is>
      </c>
      <c r="E32" s="69" t="n"/>
      <c r="F32" s="69" t="n"/>
      <c r="G32" s="71" t="inlineStr">
        <is>
          <t>4647-8550</t>
        </is>
      </c>
      <c r="H32" s="69" t="n"/>
      <c r="I32" s="69" t="n"/>
    </row>
    <row r="33" ht="15.75" customHeight="1" s="63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</row>
    <row r="34" ht="15.75" customHeight="1" s="63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</row>
  </sheetData>
  <hyperlinks>
    <hyperlink xmlns:r="http://schemas.openxmlformats.org/officeDocument/2006/relationships" ref="B30" r:id="rId1"/>
    <hyperlink xmlns:r="http://schemas.openxmlformats.org/officeDocument/2006/relationships" ref="B31" r:id="rId2"/>
    <hyperlink xmlns:r="http://schemas.openxmlformats.org/officeDocument/2006/relationships" ref="B32" r:id="rId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2026-09-15T02:13:00Z</dcterms:modified>
</cp:coreProperties>
</file>